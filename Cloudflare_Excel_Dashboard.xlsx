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ee85219fbcad95/Desktop/"/>
    </mc:Choice>
  </mc:AlternateContent>
  <xr:revisionPtr revIDLastSave="0" documentId="8_{CD0A44A1-837D-4232-871E-AC92A4636A8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README" sheetId="2" r:id="rId2"/>
    <sheet name="Raw Data" sheetId="3" r:id="rId3"/>
    <sheet name="Calculated KP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33" i="1" l="1"/>
  <c r="A5" i="1"/>
  <c r="F5" i="1"/>
  <c r="K5" i="1"/>
  <c r="P5" i="1"/>
  <c r="U5" i="1"/>
  <c r="Z5" i="1"/>
  <c r="B41" i="4"/>
  <c r="B40" i="4"/>
  <c r="B39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29" i="4"/>
  <c r="E29" i="4"/>
  <c r="D29" i="4"/>
  <c r="C29" i="4"/>
  <c r="F28" i="4"/>
  <c r="E28" i="4"/>
  <c r="D28" i="4"/>
  <c r="C28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F21" i="4"/>
  <c r="E21" i="4"/>
  <c r="D21" i="4"/>
  <c r="C21" i="4"/>
  <c r="F20" i="4"/>
  <c r="E20" i="4"/>
  <c r="D20" i="4"/>
  <c r="C20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K8" i="1" s="1"/>
  <c r="E10" i="4"/>
  <c r="D10" i="4"/>
  <c r="C10" i="4"/>
  <c r="B10" i="4"/>
  <c r="F9" i="4"/>
  <c r="E9" i="4"/>
  <c r="D9" i="4"/>
  <c r="C9" i="4"/>
  <c r="B9" i="4"/>
  <c r="F8" i="4"/>
  <c r="Q1" i="1" s="1"/>
  <c r="E8" i="4"/>
  <c r="D8" i="4"/>
  <c r="C8" i="4"/>
  <c r="B8" i="4"/>
  <c r="F7" i="4"/>
  <c r="E7" i="4"/>
  <c r="F8" i="1" s="1"/>
  <c r="D7" i="4"/>
  <c r="C7" i="4"/>
  <c r="B7" i="4"/>
  <c r="F6" i="4"/>
  <c r="A8" i="1" s="1"/>
  <c r="E6" i="4"/>
  <c r="D6" i="4"/>
  <c r="C6" i="4"/>
  <c r="AB39" i="1"/>
  <c r="AB36" i="1"/>
  <c r="Z8" i="1"/>
  <c r="U8" i="1"/>
  <c r="P8" i="1"/>
</calcChain>
</file>

<file path=xl/sharedStrings.xml><?xml version="1.0" encoding="utf-8"?>
<sst xmlns="http://schemas.openxmlformats.org/spreadsheetml/2006/main" count="138" uniqueCount="116">
  <si>
    <t>Cloudflare, Inc.  —  Edge Growth Console</t>
  </si>
  <si>
    <t>FY25 EXIT RATE</t>
  </si>
  <si>
    <t>NYSE: NET  ·  GAAP basis, $ in millions  ·  FY2021-FY2025</t>
  </si>
  <si>
    <t>FY25 REVENUE</t>
  </si>
  <si>
    <t>GROSS MARGIN</t>
  </si>
  <si>
    <t>FREE CASH FLOW</t>
  </si>
  <si>
    <t>NET RETENTION</t>
  </si>
  <si>
    <t>LARGE CUSTOMERS</t>
  </si>
  <si>
    <t>NET LOSS</t>
  </si>
  <si>
    <t>4-YEAR CAGR  (FY2021 -&gt; FY2025)</t>
  </si>
  <si>
    <t>Compounded annual growth</t>
  </si>
  <si>
    <t>Revenue CAGR</t>
  </si>
  <si>
    <t>Customer CAGR (FY23-25, 2yr)</t>
  </si>
  <si>
    <t>FCF CAGR (FY23-25, 2yr)</t>
  </si>
  <si>
    <t>Cloudflare (NET) — V1 Financial &amp; Operating Dataset, FY2021–FY2025</t>
  </si>
  <si>
    <t>This workbook contains the finalized V1 raw dataset (Tab 2) plus a derived KPI table (Tab 3), built for the Advanced Excel + Power BI showcase project discussed in chat.</t>
  </si>
  <si>
    <t>How to use this workbook</t>
  </si>
  <si>
    <t>• 'Raw Data' tab holds every sourced, hardcoded figure (blue font). These are inputs — do not overwrite with formulas.</t>
  </si>
  <si>
    <t>• 'Calculated KPIs' tab derives every ratio (black font) from the Raw Data tab via formulas — nothing here is hardcoded.</t>
  </si>
  <si>
    <t>• Cells shaded yellow in Raw Data are flagged assumptions or figures worth double-checking against the original 10-K/8-K if this feeds a graded deliverable.</t>
  </si>
  <si>
    <t>• 'n/a' means the company did not disclose this metric for that fiscal year in the sources reviewed — it was left blank rather than estimated.</t>
  </si>
  <si>
    <t>Data sources</t>
  </si>
  <si>
    <t>• Cloudflare, Inc. Q4/FY press releases (2021–2025), businesswire.com / cloudflare.com, and Q3/Q4 2025 earnings call transcripts (fool.com, SEC EDGAR).</t>
  </si>
  <si>
    <t>• StockAnalysis.com (data provider: S&amp;P Global Market Intelligence / Fiscal.ai)  used for standardized annual Income Statement, Cash Flow, Geographic Revenue, and KPI history where original press releases only report at the quarterly level.</t>
  </si>
  <si>
    <t>• SEC EDGAR 10-K filings (CIK 1477333) for segment/expense detail.</t>
  </si>
  <si>
    <t>Known limitations (be aware before presenting this as final)</t>
  </si>
  <si>
    <t>• Sales &amp; Marketing and General &amp; Administrative are combined into one 'SG&amp;A' line. Cloudflare does report these as two separate GAAP line items every quarter, but a clean, consolidated full-year split across all 5 fiscal years wasn't assembled in this session — it's a quick pull from each year's 10-K (Item 8, Consolidated Statements of Operations) if your rubric needs the two split apart.</t>
  </si>
  <si>
    <t>• Only two genuine data gaps remain after a second research pass: FY2022 exact year-end Paying Customers total, and FY2021–FY2023 Remaining Performance Obligations (RPO) in absolute dollars. Both are things Cloudflare did not clearly state in the quarterly press releases/call transcripts reviewed (RPO in particular appears to only have been disclosed as a growth-rate/10-K-note item before 2024, not a headline $ figure on calls). Everything else — including FY2021 paying customers (140,096) and large customers (1,416) for every year FY2021–FY2025 — was tracked down to a specific earnings call and is populated.</t>
  </si>
  <si>
    <t>• Operating Income figures use the standardized (S&amp;P Global) methodology, which can differ slightly from the exact headline GAAP figure in a given press release (e.g., due to how restructuring/impairment charges are classified). This is noted so the ~$5-15M variance you may see vs. a press release headline isn't mistaken for an error.</t>
  </si>
  <si>
    <t>• FY2025 Dollar-Based Net Retention and Large Customer Revenue % use the Q4 2025 exit rate as reported; full-year weighted-average figures are cited separately as 'FY2025 avg.' in Raw Data notes where disclosed.</t>
  </si>
  <si>
    <t>Cloudflare, Inc. (NET) — Raw Dataset, FY2021–FY2025</t>
  </si>
  <si>
    <t>All dollar figures in $ millions (GAAP) unless noted. Black = hardcoded source figure. Yellow fill = flagged assumption/derivation. Fiscal year ends Dec 31.</t>
  </si>
  <si>
    <t>Metric</t>
  </si>
  <si>
    <t>FY2021</t>
  </si>
  <si>
    <t>FY2022</t>
  </si>
  <si>
    <t>FY2023</t>
  </si>
  <si>
    <t>FY2024</t>
  </si>
  <si>
    <t>FY2025</t>
  </si>
  <si>
    <t>Source / Note</t>
  </si>
  <si>
    <t>FINANCIAL</t>
  </si>
  <si>
    <t>1. Revenue</t>
  </si>
  <si>
    <t>Source: Cloudflare Q4/FY press releases, 2021–2025 (cloudflare.com/press). Company-reported GAAP total revenue.</t>
  </si>
  <si>
    <t>2. Cost of Revenue</t>
  </si>
  <si>
    <t>Derived per plan: Cost of Revenue = Revenue − Gross Profit. Cross-checked against StockAnalysis.com standardized income statement (matches).</t>
  </si>
  <si>
    <t>3. Gross Profit</t>
  </si>
  <si>
    <t>Source: Cloudflare Q4/FY press releases 2021–2025 (GAAP gross profit).</t>
  </si>
  <si>
    <t>4. SG&amp;A (Sales &amp; Mktg + G&amp;A, combined)</t>
  </si>
  <si>
    <t>Source: StockAnalysis.com standardized income statement (S&amp;P Global Market Intelligence), GAAP basis. Cloudflare does report S&amp;M and G&amp;A as separate GAAP line items each quarter (e.g. Q2'22: S&amp;M $103.9M, G&amp;A $35.8M) — kept combined here only because a clean full-year GAAP split for all 5 years wasn't assembled in this session; splitting it is a quick pull from each year's 10-K if needed.</t>
  </si>
  <si>
    <t>5. R&amp;D</t>
  </si>
  <si>
    <t>Source: Cloudflare 10-K filings / MacroTrends.net (GAAP R&amp;D expense), cross-checked against StockAnalysis.com — matches.</t>
  </si>
  <si>
    <t>6. Total Operating Expenses</t>
  </si>
  <si>
    <t>Derived per plan: Total OpEx = SG&amp;A + R&amp;D. Matches StockAnalysis.com reported 'Operating Expenses' line.</t>
  </si>
  <si>
    <t>7. Operating Income / (Loss)</t>
  </si>
  <si>
    <t>Source: StockAnalysis.com standardized income statement. May differ ~$5-15M from a given press release headline due to restructuring/impairment reclassification — see README.</t>
  </si>
  <si>
    <t>8. Net Income / (Loss)</t>
  </si>
  <si>
    <t>Source: Cloudflare Q4/FY press releases 2021–2025 (GAAP net loss attributable to common stockholders).</t>
  </si>
  <si>
    <t>9. Operating Cash Flow</t>
  </si>
  <si>
    <t>Source: StockAnalysis.com standardized cash flow statement, cross-checked vs. Cloudflare press releases.</t>
  </si>
  <si>
    <t>10. Free Cash Flow</t>
  </si>
  <si>
    <t>Source: Cloudflare Q4/FY press releases (Operating Cash Flow − CapEx), confirmed vs. StockAnalysis.com.</t>
  </si>
  <si>
    <t>11. Cash, Cash Equivalents &amp; Securities (period end)</t>
  </si>
  <si>
    <t>Source: Cloudflare Q4/FY press releases (period-end balance) / StockAnalysis.com balance sheet.</t>
  </si>
  <si>
    <t>CUSTOMER</t>
  </si>
  <si>
    <t>12. Paying Customers (#, thousands)</t>
  </si>
  <si>
    <t>n/a</t>
  </si>
  <si>
    <t>Source: Cloudflare Q4 earnings call transcripts/press releases. FY2021: 140,096 (Q4'21 call, +26% YoY). FY2023: 189,791 (Q4'23, per third-party compilation of Cloudflare-reported figures). FY2024: 237,714; FY2025: ~332,466 (Q4'24/'25 press releases). FY2022 exact year-end total not found in sources reviewed (Q1'22 was 154,109) — left blank rather than guessed.</t>
  </si>
  <si>
    <t>13. Large Customers (&gt;$100K ARR, #)</t>
  </si>
  <si>
    <t>Source: Cloudflare Q4 2021–2025 earnings call transcripts (year-end large-customer count, each reported directly by CFO/CEO on the Q4 call).</t>
  </si>
  <si>
    <t>14. $1M+ ARR Customers (#)</t>
  </si>
  <si>
    <t>Source: Cloudflare Q4 2022/2023/2024/2025 earnings call transcripts (CFO customer-cohort commentary). FY2021 not broken out as a distinct disclosed cohort in the Q4'21 call reviewed — left blank.</t>
  </si>
  <si>
    <t>15. Dollar-Based Net Retention Rate (Q4 exit rate)</t>
  </si>
  <si>
    <t>Source: Cloudflare Q4 press releases/call transcripts, Q4 (year-end) exit rate. FY2022: 122% per Q4'22 earnings call transcript.</t>
  </si>
  <si>
    <t>16. Large Customer Revenue Concentration (% of FY revenue)</t>
  </si>
  <si>
    <t>Source: Cloudflare Q4 earnings call transcripts, full-year figure as restated each subsequent year (e.g. Q4'23 call: 'FY2023 large customers = 64% of revenue vs. 61% in 2022 and 54% in 2021').</t>
  </si>
  <si>
    <t>FORWARD-LOOKING</t>
  </si>
  <si>
    <t>17. Remaining Performance Obligations (RPO, period end)</t>
  </si>
  <si>
    <t>Source: StockAnalysis.com KPI history / Cloudflare Q4 2025 call ('$2.496 billion, up 48% YoY'). Management has referenced RPO growth rates since 2022 on calls, but a clean absolute $ figure for FY2021–23 was not found in press releases/transcripts reviewed (likely 10-K-note-only disclosure in those years) — left blank rather than estimated from a growth-rate backsolve.</t>
  </si>
  <si>
    <t>GEOGRAPHIC REVENUE</t>
  </si>
  <si>
    <t>18. US Revenue</t>
  </si>
  <si>
    <t>Source: StockAnalysis.com geographic revenue breakdown (Fiscal.ai), reconciled to Cloudflare 10-K segment disclosures.</t>
  </si>
  <si>
    <t>19. EMEA Revenue</t>
  </si>
  <si>
    <t>Source: StockAnalysis.com geographic revenue breakdown.</t>
  </si>
  <si>
    <t>20. APAC Revenue</t>
  </si>
  <si>
    <t>21. Other Geographic Revenue</t>
  </si>
  <si>
    <t>Source: StockAnalysis.com geographic revenue breakdown (residual region not broken out by Cloudflare).</t>
  </si>
  <si>
    <t>Cloudflare, Inc. (NET) — Calculated KPIs, FY2021–FY2025</t>
  </si>
  <si>
    <t>KPI</t>
  </si>
  <si>
    <t>GROWTH &amp; MARGINS</t>
  </si>
  <si>
    <t>Revenue Growth %</t>
  </si>
  <si>
    <t>Gross Margin %</t>
  </si>
  <si>
    <t>Operating Margin %</t>
  </si>
  <si>
    <t>Net Margin %</t>
  </si>
  <si>
    <t>FCF Margin %</t>
  </si>
  <si>
    <t>Cost of Revenue % of Revenue</t>
  </si>
  <si>
    <t>SG&amp;A % of Revenue (combined)</t>
  </si>
  <si>
    <t>R&amp;D % of Revenue</t>
  </si>
  <si>
    <t>Total OpEx % of Revenue</t>
  </si>
  <si>
    <t>Operating Cash Flow Growth %</t>
  </si>
  <si>
    <t>FCF Growth %</t>
  </si>
  <si>
    <t>Cash &amp; Securities Growth %</t>
  </si>
  <si>
    <t>Paying Customer Growth %</t>
  </si>
  <si>
    <t>Large Customer Growth %</t>
  </si>
  <si>
    <t>$1M+ Customer Growth %</t>
  </si>
  <si>
    <t>Revenue per Paying Customer ($, thousands)</t>
  </si>
  <si>
    <t>Large Customer Revenue Concentration % (linked)</t>
  </si>
  <si>
    <t>Dollar-Based Net Retention Rate (linked)</t>
  </si>
  <si>
    <t>RPO Growth %</t>
  </si>
  <si>
    <t>Revenue + RPO Combined Growth %</t>
  </si>
  <si>
    <t>GEOGRAPHIC MIX (% of total revenue)</t>
  </si>
  <si>
    <t>US % of Revenue</t>
  </si>
  <si>
    <t>EMEA % of Revenue</t>
  </si>
  <si>
    <t>APAC % of Revenue</t>
  </si>
  <si>
    <t>Other Geographic % of Revenue</t>
  </si>
  <si>
    <t>4-YEAR CAGR (FY2021 → FY2025)</t>
  </si>
  <si>
    <t>Customer CAGR (FY2023–FY2025, 2-yr — earlier years n/a)</t>
  </si>
  <si>
    <t>FCF CAGR (FY2023–FY2025, 2-yr — FY21/22 FCF negative, CAGR not meaningful)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</si>
</sst>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\M"/>
    <numFmt numFmtId="165" formatCode="0.0%"/>
    <numFmt numFmtId="166" formatCode="\$#,##0.0\M;&quot;−$&quot;#,##0.0\M"/>
    <numFmt numFmtId="168" formatCode="#,##0.0;\(#,##0.0\);\-"/>
    <numFmt numFmtId="169" formatCode="#,##0;\(#,##0\);\-"/>
    <numFmt numFmtId="170" formatCode="0.0%;\(0.0%\);\-"/>
  </numFmts>
  <fonts count="30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.5"/>
      <color rgb="FFD6DCE8"/>
      <name val="Arial"/>
      <family val="2"/>
    </font>
    <font>
      <b/>
      <sz val="9"/>
      <color rgb="FFFFFFFF"/>
      <name val="Arial"/>
      <family val="2"/>
    </font>
    <font>
      <sz val="9"/>
      <color rgb="FF8A93A6"/>
      <name val="Arial"/>
      <family val="2"/>
    </font>
    <font>
      <b/>
      <sz val="8.5"/>
      <color rgb="FF8A93A6"/>
      <name val="Arial"/>
      <family val="2"/>
    </font>
    <font>
      <sz val="8.5"/>
      <color rgb="FF34D399"/>
      <name val="Arial"/>
      <family val="2"/>
    </font>
    <font>
      <sz val="8.5"/>
      <color rgb="FF8A93A6"/>
      <name val="Arial"/>
      <family val="2"/>
    </font>
    <font>
      <sz val="8.5"/>
      <color rgb="FFFB7185"/>
      <name val="Arial"/>
      <family val="2"/>
    </font>
    <font>
      <b/>
      <sz val="11.5"/>
      <color rgb="FFFFFFFF"/>
      <name val="Arial"/>
      <family val="2"/>
    </font>
    <font>
      <sz val="10"/>
      <color rgb="FFD6DCE8"/>
      <name val="Arial"/>
      <family val="2"/>
    </font>
    <font>
      <b/>
      <sz val="20"/>
      <color rgb="FF34D399"/>
      <name val="Arial"/>
      <family val="2"/>
    </font>
    <font>
      <b/>
      <sz val="20"/>
      <color rgb="FF60A5FA"/>
      <name val="Arial"/>
      <family val="2"/>
    </font>
    <font>
      <b/>
      <sz val="20"/>
      <color rgb="FFF6821F"/>
      <name val="Arial"/>
      <family val="2"/>
    </font>
    <font>
      <i/>
      <sz val="8.5"/>
      <color rgb="FF8A93A6"/>
      <name val="Arial"/>
      <family val="2"/>
    </font>
    <font>
      <b/>
      <sz val="14"/>
      <color rgb="FF1F4E78"/>
      <name val="Arial"/>
      <family val="2"/>
      <charset val="1"/>
    </font>
    <font>
      <sz val="10"/>
      <name val="Arial"/>
      <family val="2"/>
      <charset val="1"/>
    </font>
    <font>
      <b/>
      <sz val="11"/>
      <color rgb="FF1F4E78"/>
      <name val="Arial"/>
      <family val="2"/>
      <charset val="1"/>
    </font>
    <font>
      <i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1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Arial"/>
      <family val="2"/>
      <charset val="1"/>
    </font>
    <font>
      <i/>
      <sz val="8"/>
      <color rgb="FF808080"/>
      <name val="Arial"/>
      <family val="2"/>
      <charset val="1"/>
    </font>
    <font>
      <sz val="10"/>
      <color rgb="FF008000"/>
      <name val="Arial"/>
      <family val="2"/>
      <charset val="1"/>
    </font>
    <font>
      <b/>
      <sz val="16"/>
      <color rgb="FFFFFFFF"/>
      <name val="Arial"/>
      <family val="2"/>
    </font>
    <font>
      <b/>
      <sz val="16"/>
      <color rgb="FFFB7185"/>
      <name val="Arial"/>
      <family val="2"/>
    </font>
    <font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21A29"/>
        <bgColor rgb="FF141C2C"/>
      </patternFill>
    </fill>
    <fill>
      <patternFill patternType="solid">
        <fgColor rgb="FFF6821F"/>
        <bgColor rgb="FFFF6600"/>
      </patternFill>
    </fill>
    <fill>
      <patternFill patternType="solid">
        <fgColor rgb="FF0B1220"/>
        <bgColor rgb="FF121A29"/>
      </patternFill>
    </fill>
    <fill>
      <patternFill patternType="solid">
        <fgColor rgb="FF141C2C"/>
        <bgColor rgb="FF121A29"/>
      </patternFill>
    </fill>
    <fill>
      <patternFill patternType="solid">
        <fgColor rgb="FF1F4E78"/>
        <bgColor rgb="FF26314A"/>
      </patternFill>
    </fill>
    <fill>
      <patternFill patternType="solid">
        <fgColor rgb="FFD9E1F2"/>
        <bgColor rgb="FFD6DCE8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24304A"/>
      </left>
      <right style="thin">
        <color rgb="FF24304A"/>
      </right>
      <top/>
      <bottom/>
      <diagonal/>
    </border>
    <border>
      <left/>
      <right/>
      <top/>
      <bottom style="thin">
        <color rgb="FF24304A"/>
      </bottom>
      <diagonal/>
    </border>
    <border>
      <left style="thin">
        <color rgb="FF24304A"/>
      </left>
      <right style="thin">
        <color rgb="FF24304A"/>
      </right>
      <top style="thin">
        <color rgb="FF24304A"/>
      </top>
      <bottom/>
      <diagonal/>
    </border>
    <border>
      <left style="thin">
        <color rgb="FF24304A"/>
      </left>
      <right/>
      <top/>
      <bottom/>
      <diagonal/>
    </border>
    <border>
      <left/>
      <right style="thin">
        <color rgb="FF24304A"/>
      </right>
      <top/>
      <bottom/>
      <diagonal/>
    </border>
    <border>
      <left style="thin">
        <color rgb="FF24304A"/>
      </left>
      <right/>
      <top/>
      <bottom style="thin">
        <color rgb="FF24304A"/>
      </bottom>
      <diagonal/>
    </border>
    <border>
      <left/>
      <right style="thin">
        <color rgb="FF24304A"/>
      </right>
      <top/>
      <bottom style="thin">
        <color rgb="FF24304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5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9" fillId="0" borderId="0" xfId="0" applyFont="1"/>
    <xf numFmtId="0" fontId="1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15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0" fillId="0" borderId="0" xfId="0" applyFont="1"/>
    <xf numFmtId="0" fontId="21" fillId="6" borderId="0" xfId="0" applyFont="1" applyFill="1"/>
    <xf numFmtId="0" fontId="21" fillId="6" borderId="0" xfId="0" applyFont="1" applyFill="1" applyAlignment="1">
      <alignment horizontal="center"/>
    </xf>
    <xf numFmtId="0" fontId="17" fillId="7" borderId="0" xfId="0" applyFont="1" applyFill="1"/>
    <xf numFmtId="0" fontId="0" fillId="7" borderId="0" xfId="0" applyFill="1"/>
    <xf numFmtId="0" fontId="16" fillId="0" borderId="0" xfId="0" applyFont="1"/>
    <xf numFmtId="168" fontId="16" fillId="0" borderId="8" xfId="0" applyNumberFormat="1" applyFont="1" applyBorder="1"/>
    <xf numFmtId="168" fontId="16" fillId="8" borderId="8" xfId="0" applyNumberFormat="1" applyFont="1" applyFill="1" applyBorder="1"/>
    <xf numFmtId="0" fontId="22" fillId="0" borderId="0" xfId="0" applyFont="1"/>
    <xf numFmtId="0" fontId="23" fillId="0" borderId="0" xfId="0" applyFont="1"/>
    <xf numFmtId="0" fontId="22" fillId="7" borderId="0" xfId="0" applyFont="1" applyFill="1"/>
    <xf numFmtId="0" fontId="23" fillId="7" borderId="0" xfId="0" applyFont="1" applyFill="1"/>
    <xf numFmtId="169" fontId="16" fillId="8" borderId="8" xfId="0" applyNumberFormat="1" applyFont="1" applyFill="1" applyBorder="1"/>
    <xf numFmtId="169" fontId="18" fillId="8" borderId="8" xfId="0" applyNumberFormat="1" applyFont="1" applyFill="1" applyBorder="1" applyAlignment="1">
      <alignment horizontal="center"/>
    </xf>
    <xf numFmtId="169" fontId="16" fillId="0" borderId="8" xfId="0" applyNumberFormat="1" applyFont="1" applyBorder="1"/>
    <xf numFmtId="170" fontId="16" fillId="0" borderId="8" xfId="0" applyNumberFormat="1" applyFont="1" applyBorder="1"/>
    <xf numFmtId="168" fontId="18" fillId="8" borderId="8" xfId="0" applyNumberFormat="1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170" fontId="26" fillId="0" borderId="8" xfId="0" applyNumberFormat="1" applyFont="1" applyBorder="1"/>
    <xf numFmtId="0" fontId="18" fillId="0" borderId="8" xfId="0" applyFont="1" applyBorder="1" applyAlignment="1">
      <alignment horizontal="center"/>
    </xf>
    <xf numFmtId="170" fontId="16" fillId="0" borderId="8" xfId="0" applyNumberFormat="1" applyFont="1" applyBorder="1" applyAlignment="1">
      <alignment horizontal="center"/>
    </xf>
    <xf numFmtId="168" fontId="16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6" fillId="5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 indent="1"/>
    </xf>
    <xf numFmtId="0" fontId="9" fillId="5" borderId="3" xfId="0" applyFont="1" applyFill="1" applyBorder="1" applyAlignment="1">
      <alignment vertical="center" indent="1"/>
    </xf>
    <xf numFmtId="0" fontId="7" fillId="5" borderId="1" xfId="0" applyFont="1" applyFill="1" applyBorder="1" applyAlignment="1">
      <alignment vertical="center" indent="1"/>
    </xf>
    <xf numFmtId="0" fontId="10" fillId="5" borderId="6" xfId="0" applyFont="1" applyFill="1" applyBorder="1" applyAlignment="1">
      <alignment vertical="center" wrapText="1" indent="1"/>
    </xf>
    <xf numFmtId="165" fontId="11" fillId="5" borderId="7" xfId="0" applyNumberFormat="1" applyFont="1" applyFill="1" applyBorder="1" applyAlignment="1">
      <alignment horizontal="right" vertical="center" indent="1"/>
    </xf>
    <xf numFmtId="165" fontId="12" fillId="5" borderId="7" xfId="0" applyNumberFormat="1" applyFont="1" applyFill="1" applyBorder="1" applyAlignment="1">
      <alignment horizontal="right" vertical="center" indent="1"/>
    </xf>
    <xf numFmtId="165" fontId="13" fillId="5" borderId="7" xfId="0" applyNumberFormat="1" applyFont="1" applyFill="1" applyBorder="1" applyAlignment="1">
      <alignment horizontal="right" vertical="center" indent="1"/>
    </xf>
    <xf numFmtId="0" fontId="14" fillId="4" borderId="0" xfId="0" applyFont="1" applyFill="1"/>
    <xf numFmtId="0" fontId="14" fillId="4" borderId="0" xfId="0" applyFont="1" applyFill="1" applyAlignment="1">
      <alignment horizontal="right"/>
    </xf>
    <xf numFmtId="0" fontId="24" fillId="0" borderId="0" xfId="0" applyFont="1"/>
    <xf numFmtId="164" fontId="27" fillId="5" borderId="1" xfId="0" applyNumberFormat="1" applyFont="1" applyFill="1" applyBorder="1" applyAlignment="1">
      <alignment horizontal="left" vertical="center" indent="1"/>
    </xf>
    <xf numFmtId="165" fontId="27" fillId="5" borderId="1" xfId="0" applyNumberFormat="1" applyFont="1" applyFill="1" applyBorder="1" applyAlignment="1">
      <alignment horizontal="left" vertical="center" indent="1"/>
    </xf>
    <xf numFmtId="9" fontId="27" fillId="5" borderId="1" xfId="0" applyNumberFormat="1" applyFont="1" applyFill="1" applyBorder="1" applyAlignment="1">
      <alignment horizontal="left" vertical="center" indent="1"/>
    </xf>
    <xf numFmtId="3" fontId="27" fillId="5" borderId="1" xfId="0" applyNumberFormat="1" applyFont="1" applyFill="1" applyBorder="1" applyAlignment="1">
      <alignment horizontal="left" vertical="center" indent="1"/>
    </xf>
    <xf numFmtId="166" fontId="28" fillId="5" borderId="1" xfId="0" applyNumberFormat="1" applyFont="1" applyFill="1" applyBorder="1" applyAlignment="1">
      <alignment horizontal="left" vertical="center" indent="1"/>
    </xf>
    <xf numFmtId="0" fontId="29" fillId="4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B1220"/>
      <rgbColor rgb="FF808000"/>
      <rgbColor rgb="FF800080"/>
      <rgbColor rgb="FF008080"/>
      <rgbColor rgb="FFB7B7B7"/>
      <rgbColor rgb="FF808080"/>
      <rgbColor rgb="FFA78BFA"/>
      <rgbColor rgb="FF993366"/>
      <rgbColor rgb="FFFFFFCC"/>
      <rgbColor rgb="FFD9E1F2"/>
      <rgbColor rgb="FF660066"/>
      <rgbColor rgb="FFFB7185"/>
      <rgbColor rgb="FF0066CC"/>
      <rgbColor rgb="FFD6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7CE"/>
      <rgbColor rgb="FF60A5FA"/>
      <rgbColor rgb="FF34D399"/>
      <rgbColor rgb="FF99CC00"/>
      <rgbColor rgb="FFFBBF24"/>
      <rgbColor rgb="FFF6821F"/>
      <rgbColor rgb="FFFF6600"/>
      <rgbColor rgb="FF666699"/>
      <rgbColor rgb="FF8A93A6"/>
      <rgbColor rgb="FF24304A"/>
      <rgbColor rgb="FF339966"/>
      <rgbColor rgb="FF141C2C"/>
      <rgbColor rgb="FF121A29"/>
      <rgbColor rgb="FF993300"/>
      <rgbColor rgb="FF993366"/>
      <rgbColor rgb="FF1F4E78"/>
      <rgbColor rgb="FF2631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Revenue &amp; Profitability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F6821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Data'!$B$6:$F$6</c:f>
              <c:numCache>
                <c:formatCode>#,##0.0;\(#,##0.0\);\-</c:formatCode>
                <c:ptCount val="5"/>
                <c:pt idx="0">
                  <c:v>656.4</c:v>
                </c:pt>
                <c:pt idx="1">
                  <c:v>975.2</c:v>
                </c:pt>
                <c:pt idx="2">
                  <c:v>1296.7</c:v>
                </c:pt>
                <c:pt idx="3">
                  <c:v>1669.6</c:v>
                </c:pt>
                <c:pt idx="4">
                  <c:v>2167.9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DD7-94DA-7184D75EE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15189"/>
        <c:axId val="41374308"/>
      </c:barChart>
      <c:lineChart>
        <c:grouping val="standard"/>
        <c:varyColors val="0"/>
        <c:ser>
          <c:idx val="1"/>
          <c:order val="1"/>
          <c:tx>
            <c:v>Gross Profit</c:v>
          </c:tx>
          <c:spPr>
            <a:ln w="20160">
              <a:solidFill>
                <a:srgbClr val="34D399"/>
              </a:solidFill>
              <a:round/>
            </a:ln>
          </c:spPr>
          <c:marker>
            <c:symbol val="circle"/>
            <c:size val="5"/>
            <c:spPr>
              <a:solidFill>
                <a:srgbClr val="34D3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Data'!$B$8:$F$8</c:f>
              <c:numCache>
                <c:formatCode>#,##0.0;\(#,##0.0\);\-</c:formatCode>
                <c:ptCount val="5"/>
                <c:pt idx="0">
                  <c:v>509.3</c:v>
                </c:pt>
                <c:pt idx="1">
                  <c:v>742.6</c:v>
                </c:pt>
                <c:pt idx="2">
                  <c:v>989.7</c:v>
                </c:pt>
                <c:pt idx="3">
                  <c:v>1290.9000000000001</c:v>
                </c:pt>
                <c:pt idx="4">
                  <c:v>1615.4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3-4DD7-94DA-7184D75EEEFE}"/>
            </c:ext>
          </c:extLst>
        </c:ser>
        <c:ser>
          <c:idx val="2"/>
          <c:order val="2"/>
          <c:tx>
            <c:v>Operating Income</c:v>
          </c:tx>
          <c:spPr>
            <a:ln w="20160">
              <a:solidFill>
                <a:srgbClr val="60A5FA"/>
              </a:solidFill>
              <a:round/>
            </a:ln>
          </c:spPr>
          <c:marker>
            <c:symbol val="circle"/>
            <c:size val="5"/>
            <c:spPr>
              <a:solidFill>
                <a:srgbClr val="60A5F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Data'!$B$12:$F$12</c:f>
              <c:numCache>
                <c:formatCode>#,##0.0;\(#,##0.0\);\-</c:formatCode>
                <c:ptCount val="5"/>
                <c:pt idx="0">
                  <c:v>-127.3</c:v>
                </c:pt>
                <c:pt idx="1">
                  <c:v>-197.3</c:v>
                </c:pt>
                <c:pt idx="2">
                  <c:v>-185.5</c:v>
                </c:pt>
                <c:pt idx="3">
                  <c:v>-139.1</c:v>
                </c:pt>
                <c:pt idx="4">
                  <c:v>-201.1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93-4DD7-94DA-7184D75EEEFE}"/>
            </c:ext>
          </c:extLst>
        </c:ser>
        <c:ser>
          <c:idx val="3"/>
          <c:order val="3"/>
          <c:tx>
            <c:v>Net Income</c:v>
          </c:tx>
          <c:spPr>
            <a:ln w="20160">
              <a:solidFill>
                <a:srgbClr val="FB7185"/>
              </a:solidFill>
              <a:round/>
            </a:ln>
          </c:spPr>
          <c:marker>
            <c:symbol val="circle"/>
            <c:size val="5"/>
            <c:spPr>
              <a:solidFill>
                <a:srgbClr val="FB718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Data'!$B$13:$F$13</c:f>
              <c:numCache>
                <c:formatCode>#,##0.0;\(#,##0.0\);\-</c:formatCode>
                <c:ptCount val="5"/>
                <c:pt idx="0">
                  <c:v>-260.3</c:v>
                </c:pt>
                <c:pt idx="1">
                  <c:v>-193.4</c:v>
                </c:pt>
                <c:pt idx="2">
                  <c:v>-184</c:v>
                </c:pt>
                <c:pt idx="3">
                  <c:v>-78.8</c:v>
                </c:pt>
                <c:pt idx="4">
                  <c:v>-102.3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93-4DD7-94DA-7184D75EE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815189"/>
        <c:axId val="41374308"/>
      </c:lineChart>
      <c:catAx>
        <c:axId val="53815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41374308"/>
        <c:crosses val="autoZero"/>
        <c:auto val="1"/>
        <c:lblAlgn val="ctr"/>
        <c:lblOffset val="100"/>
        <c:noMultiLvlLbl val="0"/>
      </c:catAx>
      <c:valAx>
        <c:axId val="41374308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53815189"/>
        <c:crosses val="autoZero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Margin Trends (% of 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 %</c:v>
          </c:tx>
          <c:spPr>
            <a:ln w="20160">
              <a:solidFill>
                <a:srgbClr val="34D399"/>
              </a:solidFill>
              <a:round/>
            </a:ln>
          </c:spPr>
          <c:marker>
            <c:symbol val="circle"/>
            <c:size val="5"/>
            <c:spPr>
              <a:solidFill>
                <a:srgbClr val="34D3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KPIs'!$B$7:$F$7</c:f>
              <c:numCache>
                <c:formatCode>0.0%;\(0.0%\);\-</c:formatCode>
                <c:ptCount val="5"/>
                <c:pt idx="0">
                  <c:v>0.77589884216940896</c:v>
                </c:pt>
                <c:pt idx="1">
                  <c:v>0.76148482362592285</c:v>
                </c:pt>
                <c:pt idx="2">
                  <c:v>0.76324516079278171</c:v>
                </c:pt>
                <c:pt idx="3">
                  <c:v>0.7731792045999043</c:v>
                </c:pt>
                <c:pt idx="4">
                  <c:v>0.74514507126712493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9-403D-B9E2-74BE67F78EFC}"/>
            </c:ext>
          </c:extLst>
        </c:ser>
        <c:ser>
          <c:idx val="1"/>
          <c:order val="1"/>
          <c:tx>
            <c:v>Operating Margin %</c:v>
          </c:tx>
          <c:spPr>
            <a:ln w="20160">
              <a:solidFill>
                <a:srgbClr val="60A5FA"/>
              </a:solidFill>
              <a:round/>
            </a:ln>
          </c:spPr>
          <c:marker>
            <c:symbol val="circle"/>
            <c:size val="5"/>
            <c:spPr>
              <a:solidFill>
                <a:srgbClr val="60A5F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KPIs'!$B$8:$F$8</c:f>
              <c:numCache>
                <c:formatCode>0.0%;\(0.0%\);\-</c:formatCode>
                <c:ptCount val="5"/>
                <c:pt idx="0">
                  <c:v>-0.19393662400975015</c:v>
                </c:pt>
                <c:pt idx="1">
                  <c:v>-0.20231747333880229</c:v>
                </c:pt>
                <c:pt idx="2">
                  <c:v>-0.14305544844605536</c:v>
                </c:pt>
                <c:pt idx="3">
                  <c:v>-8.3313368471490179E-2</c:v>
                </c:pt>
                <c:pt idx="4">
                  <c:v>-9.2762581299875455E-2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9-403D-B9E2-74BE67F78EFC}"/>
            </c:ext>
          </c:extLst>
        </c:ser>
        <c:ser>
          <c:idx val="2"/>
          <c:order val="2"/>
          <c:tx>
            <c:v>Net Margin %</c:v>
          </c:tx>
          <c:spPr>
            <a:ln w="20160">
              <a:solidFill>
                <a:srgbClr val="FB7185"/>
              </a:solidFill>
              <a:round/>
            </a:ln>
          </c:spPr>
          <c:marker>
            <c:symbol val="circle"/>
            <c:size val="5"/>
            <c:spPr>
              <a:solidFill>
                <a:srgbClr val="FB718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KPIs'!$B$9:$F$9</c:f>
              <c:numCache>
                <c:formatCode>0.0%;\(0.0%\);\-</c:formatCode>
                <c:ptCount val="5"/>
                <c:pt idx="0">
                  <c:v>-0.39655697745277274</c:v>
                </c:pt>
                <c:pt idx="1">
                  <c:v>-0.198318293683347</c:v>
                </c:pt>
                <c:pt idx="2">
                  <c:v>-0.14189866584406571</c:v>
                </c:pt>
                <c:pt idx="3">
                  <c:v>-4.7196933397220892E-2</c:v>
                </c:pt>
                <c:pt idx="4">
                  <c:v>-4.7188523455878956E-2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9-403D-B9E2-74BE67F78EFC}"/>
            </c:ext>
          </c:extLst>
        </c:ser>
        <c:ser>
          <c:idx val="3"/>
          <c:order val="3"/>
          <c:tx>
            <c:v>FCF Margin %</c:v>
          </c:tx>
          <c:spPr>
            <a:ln w="20160">
              <a:solidFill>
                <a:srgbClr val="FBBF24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FBBF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KPIs'!$B$10:$F$10</c:f>
              <c:numCache>
                <c:formatCode>0.0%;\(0.0%\);\-</c:formatCode>
                <c:ptCount val="5"/>
                <c:pt idx="0">
                  <c:v>-4.3113954905545399E-2</c:v>
                </c:pt>
                <c:pt idx="1">
                  <c:v>-2.050861361771944E-2</c:v>
                </c:pt>
                <c:pt idx="2">
                  <c:v>0.10326212693761086</c:v>
                </c:pt>
                <c:pt idx="3">
                  <c:v>0.10810972688069</c:v>
                </c:pt>
                <c:pt idx="4">
                  <c:v>0.12961852483970662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9-403D-B9E2-74BE67F78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239931"/>
        <c:axId val="23404452"/>
      </c:lineChart>
      <c:catAx>
        <c:axId val="33239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23404452"/>
        <c:crosses val="autoZero"/>
        <c:auto val="1"/>
        <c:lblAlgn val="ctr"/>
        <c:lblOffset val="100"/>
        <c:noMultiLvlLbl val="0"/>
      </c:catAx>
      <c:valAx>
        <c:axId val="23404452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33239931"/>
        <c:crosses val="autoZero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Revenue Mix by Region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US</c:v>
          </c:tx>
          <c:spPr>
            <a:solidFill>
              <a:srgbClr val="F6821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Data'!$B$29:$F$29</c:f>
              <c:numCache>
                <c:formatCode>#,##0.0;\(#,##0.0\);\-</c:formatCode>
                <c:ptCount val="5"/>
                <c:pt idx="0">
                  <c:v>342.6</c:v>
                </c:pt>
                <c:pt idx="1">
                  <c:v>515.70000000000005</c:v>
                </c:pt>
                <c:pt idx="2">
                  <c:v>678.2</c:v>
                </c:pt>
                <c:pt idx="3">
                  <c:v>849.5</c:v>
                </c:pt>
                <c:pt idx="4">
                  <c:v>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A-4B31-A699-158B6E660BBE}"/>
            </c:ext>
          </c:extLst>
        </c:ser>
        <c:ser>
          <c:idx val="1"/>
          <c:order val="1"/>
          <c:tx>
            <c:v>EMEA</c:v>
          </c:tx>
          <c:spPr>
            <a:solidFill>
              <a:srgbClr val="60A5F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Data'!$B$30:$F$30</c:f>
              <c:numCache>
                <c:formatCode>#,##0.0;\(#,##0.0\);\-</c:formatCode>
                <c:ptCount val="5"/>
                <c:pt idx="0">
                  <c:v>172.1</c:v>
                </c:pt>
                <c:pt idx="1">
                  <c:v>258.3</c:v>
                </c:pt>
                <c:pt idx="2">
                  <c:v>356.6</c:v>
                </c:pt>
                <c:pt idx="3">
                  <c:v>466.5</c:v>
                </c:pt>
                <c:pt idx="4">
                  <c:v>598.6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A-4B31-A699-158B6E660BBE}"/>
            </c:ext>
          </c:extLst>
        </c:ser>
        <c:ser>
          <c:idx val="2"/>
          <c:order val="2"/>
          <c:tx>
            <c:v>APAC</c:v>
          </c:tx>
          <c:spPr>
            <a:solidFill>
              <a:srgbClr val="34D3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Data'!$B$31:$F$31</c:f>
              <c:numCache>
                <c:formatCode>#,##0.0;\(#,##0.0\);\-</c:formatCode>
                <c:ptCount val="5"/>
                <c:pt idx="0">
                  <c:v>96.5</c:v>
                </c:pt>
                <c:pt idx="1">
                  <c:v>133.4</c:v>
                </c:pt>
                <c:pt idx="2">
                  <c:v>168.8</c:v>
                </c:pt>
                <c:pt idx="3">
                  <c:v>223.2</c:v>
                </c:pt>
                <c:pt idx="4">
                  <c:v>329.8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A-4B31-A699-158B6E660BBE}"/>
            </c:ext>
          </c:extLst>
        </c:ser>
        <c:ser>
          <c:idx val="3"/>
          <c:order val="3"/>
          <c:tx>
            <c:v>Other</c:v>
          </c:tx>
          <c:spPr>
            <a:solidFill>
              <a:srgbClr val="A78BF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Data'!$B$32:$F$32</c:f>
              <c:numCache>
                <c:formatCode>#,##0.0;\(#,##0.0\);\-</c:formatCode>
                <c:ptCount val="5"/>
                <c:pt idx="0">
                  <c:v>45.2</c:v>
                </c:pt>
                <c:pt idx="1">
                  <c:v>67.900000000000006</c:v>
                </c:pt>
                <c:pt idx="2">
                  <c:v>93.2</c:v>
                </c:pt>
                <c:pt idx="3">
                  <c:v>130.4</c:v>
                </c:pt>
                <c:pt idx="4">
                  <c:v>166.6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8A-4B31-A699-158B6E660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71949"/>
        <c:axId val="98615200"/>
      </c:barChart>
      <c:catAx>
        <c:axId val="34471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98615200"/>
        <c:crosses val="autoZero"/>
        <c:auto val="1"/>
        <c:lblAlgn val="ctr"/>
        <c:lblOffset val="100"/>
        <c:noMultiLvlLbl val="0"/>
      </c:catAx>
      <c:valAx>
        <c:axId val="98615200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34471949"/>
        <c:crosses val="autoZero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Customer Base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Paying Customers (K)</c:v>
          </c:tx>
          <c:spPr>
            <a:solidFill>
              <a:srgbClr val="60A5F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Data'!$B$19:$F$19</c:f>
              <c:numCache>
                <c:formatCode>#,##0;\(#,##0\);\-</c:formatCode>
                <c:ptCount val="5"/>
                <c:pt idx="0">
                  <c:v>140.1</c:v>
                </c:pt>
                <c:pt idx="1">
                  <c:v>0</c:v>
                </c:pt>
                <c:pt idx="2">
                  <c:v>189.8</c:v>
                </c:pt>
                <c:pt idx="3">
                  <c:v>237.7</c:v>
                </c:pt>
                <c:pt idx="4">
                  <c:v>332.5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B-4304-9111-F1783811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14627"/>
        <c:axId val="62370450"/>
      </c:barChart>
      <c:lineChart>
        <c:grouping val="standard"/>
        <c:varyColors val="0"/>
        <c:ser>
          <c:idx val="1"/>
          <c:order val="1"/>
          <c:tx>
            <c:v>Large Customers (&gt;$100K ARR)</c:v>
          </c:tx>
          <c:spPr>
            <a:ln w="20160">
              <a:solidFill>
                <a:srgbClr val="F6821F"/>
              </a:solidFill>
              <a:round/>
            </a:ln>
          </c:spPr>
          <c:marker>
            <c:symbol val="circle"/>
            <c:size val="5"/>
            <c:spPr>
              <a:solidFill>
                <a:srgbClr val="F6821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Data'!$B$20:$F$20</c:f>
              <c:numCache>
                <c:formatCode>#,##0;\(#,##0\);\-</c:formatCode>
                <c:ptCount val="5"/>
                <c:pt idx="0">
                  <c:v>1416</c:v>
                </c:pt>
                <c:pt idx="1">
                  <c:v>2042</c:v>
                </c:pt>
                <c:pt idx="2">
                  <c:v>2756</c:v>
                </c:pt>
                <c:pt idx="3">
                  <c:v>3497</c:v>
                </c:pt>
                <c:pt idx="4">
                  <c:v>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B-4304-9111-F1783811CCBF}"/>
            </c:ext>
          </c:extLst>
        </c:ser>
        <c:ser>
          <c:idx val="2"/>
          <c:order val="2"/>
          <c:tx>
            <c:v>$1M+ ARR Customers</c:v>
          </c:tx>
          <c:spPr>
            <a:ln w="20160">
              <a:solidFill>
                <a:srgbClr val="FBBF24"/>
              </a:solidFill>
              <a:round/>
            </a:ln>
          </c:spPr>
          <c:marker>
            <c:symbol val="circle"/>
            <c:size val="5"/>
            <c:spPr>
              <a:solidFill>
                <a:srgbClr val="FBBF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Data'!$B$21:$F$21</c:f>
              <c:numCache>
                <c:formatCode>#,##0;\(#,##0\);\-</c:formatCode>
                <c:ptCount val="5"/>
                <c:pt idx="0">
                  <c:v>0</c:v>
                </c:pt>
                <c:pt idx="1">
                  <c:v>85</c:v>
                </c:pt>
                <c:pt idx="2">
                  <c:v>118</c:v>
                </c:pt>
                <c:pt idx="3">
                  <c:v>173</c:v>
                </c:pt>
                <c:pt idx="4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B-4304-9111-F1783811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885786"/>
        <c:axId val="2695523"/>
      </c:lineChart>
      <c:catAx>
        <c:axId val="33714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62370450"/>
        <c:crosses val="autoZero"/>
        <c:auto val="1"/>
        <c:lblAlgn val="ctr"/>
        <c:lblOffset val="100"/>
        <c:noMultiLvlLbl val="0"/>
      </c:catAx>
      <c:valAx>
        <c:axId val="62370450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33714627"/>
        <c:crosses val="autoZero"/>
        <c:crossBetween val="between"/>
      </c:valAx>
      <c:catAx>
        <c:axId val="90885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2695523"/>
        <c:crosses val="autoZero"/>
        <c:auto val="1"/>
        <c:lblAlgn val="ctr"/>
        <c:lblOffset val="100"/>
        <c:noMultiLvlLbl val="0"/>
      </c:catAx>
      <c:valAx>
        <c:axId val="2695523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85786"/>
        <c:crosses val="max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Retention &amp; Concentration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Retention (DBNR)</c:v>
          </c:tx>
          <c:spPr>
            <a:ln w="20160">
              <a:solidFill>
                <a:srgbClr val="A78BFA"/>
              </a:solidFill>
              <a:round/>
            </a:ln>
          </c:spPr>
          <c:marker>
            <c:symbol val="circle"/>
            <c:size val="5"/>
            <c:spPr>
              <a:solidFill>
                <a:srgbClr val="A78BF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KPIs'!$B$25:$F$25</c:f>
              <c:numCache>
                <c:formatCode>0.0%;\(0.0%\);\-</c:formatCode>
                <c:ptCount val="5"/>
                <c:pt idx="0">
                  <c:v>1.25</c:v>
                </c:pt>
                <c:pt idx="1">
                  <c:v>1.22</c:v>
                </c:pt>
                <c:pt idx="2">
                  <c:v>1.1499999999999999</c:v>
                </c:pt>
                <c:pt idx="3">
                  <c:v>1.1100000000000001</c:v>
                </c:pt>
                <c:pt idx="4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1-459C-884E-6E93DF777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507797"/>
        <c:axId val="78545883"/>
      </c:lineChart>
      <c:lineChart>
        <c:grouping val="standard"/>
        <c:varyColors val="0"/>
        <c:ser>
          <c:idx val="1"/>
          <c:order val="1"/>
          <c:tx>
            <c:v>Large-cust. revenue share</c:v>
          </c:tx>
          <c:spPr>
            <a:ln w="20160">
              <a:solidFill>
                <a:srgbClr val="34D399"/>
              </a:solidFill>
              <a:round/>
            </a:ln>
          </c:spPr>
          <c:marker>
            <c:symbol val="circle"/>
            <c:size val="5"/>
            <c:spPr>
              <a:solidFill>
                <a:srgbClr val="34D3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KPIs'!$B$24:$F$24</c:f>
              <c:numCache>
                <c:formatCode>0.0%;\(0.0%\);\-</c:formatCode>
                <c:ptCount val="5"/>
                <c:pt idx="0">
                  <c:v>0.54</c:v>
                </c:pt>
                <c:pt idx="1">
                  <c:v>0.61</c:v>
                </c:pt>
                <c:pt idx="2">
                  <c:v>0.64</c:v>
                </c:pt>
                <c:pt idx="3">
                  <c:v>0.67</c:v>
                </c:pt>
                <c:pt idx="4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1-459C-884E-6E93DF777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548186"/>
        <c:axId val="36247956"/>
      </c:lineChart>
      <c:catAx>
        <c:axId val="15507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78545883"/>
        <c:crosses val="autoZero"/>
        <c:auto val="1"/>
        <c:lblAlgn val="ctr"/>
        <c:lblOffset val="100"/>
        <c:noMultiLvlLbl val="0"/>
      </c:catAx>
      <c:valAx>
        <c:axId val="78545883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15507797"/>
        <c:crosses val="autoZero"/>
        <c:crossBetween val="between"/>
      </c:valAx>
      <c:catAx>
        <c:axId val="14548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36247956"/>
        <c:crosses val="autoZero"/>
        <c:auto val="1"/>
        <c:lblAlgn val="ctr"/>
        <c:lblOffset val="100"/>
        <c:noMultiLvlLbl val="0"/>
      </c:catAx>
      <c:valAx>
        <c:axId val="362479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48186"/>
        <c:crosses val="max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Cash Position &amp; Free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Cash, Equivalents &amp; Securities</c:v>
          </c:tx>
          <c:spPr>
            <a:solidFill>
              <a:srgbClr val="34D3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Data'!$B$16:$F$16</c:f>
              <c:numCache>
                <c:formatCode>#,##0.0;\(#,##0.0\);\-</c:formatCode>
                <c:ptCount val="5"/>
                <c:pt idx="0">
                  <c:v>1822</c:v>
                </c:pt>
                <c:pt idx="1">
                  <c:v>1650</c:v>
                </c:pt>
                <c:pt idx="2">
                  <c:v>1673.7</c:v>
                </c:pt>
                <c:pt idx="3">
                  <c:v>1855.9</c:v>
                </c:pt>
                <c:pt idx="4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7-4144-BB32-AE5F10A2C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84298"/>
        <c:axId val="76261383"/>
      </c:barChart>
      <c:lineChart>
        <c:grouping val="standard"/>
        <c:varyColors val="0"/>
        <c:ser>
          <c:idx val="1"/>
          <c:order val="1"/>
          <c:tx>
            <c:v>Free Cash Flow</c:v>
          </c:tx>
          <c:spPr>
            <a:ln w="20160">
              <a:solidFill>
                <a:srgbClr val="F6821F"/>
              </a:solidFill>
              <a:round/>
            </a:ln>
          </c:spPr>
          <c:marker>
            <c:symbol val="circle"/>
            <c:size val="5"/>
            <c:spPr>
              <a:solidFill>
                <a:srgbClr val="F6821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Data'!$B$15:$F$15</c:f>
              <c:numCache>
                <c:formatCode>#,##0.0;\(#,##0.0\);\-</c:formatCode>
                <c:ptCount val="5"/>
                <c:pt idx="0">
                  <c:v>-28.3</c:v>
                </c:pt>
                <c:pt idx="1">
                  <c:v>-20</c:v>
                </c:pt>
                <c:pt idx="2">
                  <c:v>133.9</c:v>
                </c:pt>
                <c:pt idx="3">
                  <c:v>180.5</c:v>
                </c:pt>
                <c:pt idx="4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7-4144-BB32-AE5F10A2C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353815"/>
        <c:axId val="86532593"/>
      </c:lineChart>
      <c:catAx>
        <c:axId val="774842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76261383"/>
        <c:crosses val="autoZero"/>
        <c:auto val="1"/>
        <c:lblAlgn val="ctr"/>
        <c:lblOffset val="100"/>
        <c:noMultiLvlLbl val="0"/>
      </c:catAx>
      <c:valAx>
        <c:axId val="76261383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77484298"/>
        <c:crosses val="autoZero"/>
        <c:crossBetween val="between"/>
      </c:valAx>
      <c:catAx>
        <c:axId val="3835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86532593"/>
        <c:crosses val="autoZero"/>
        <c:auto val="1"/>
        <c:lblAlgn val="ctr"/>
        <c:lblOffset val="100"/>
        <c:noMultiLvlLbl val="0"/>
      </c:catAx>
      <c:valAx>
        <c:axId val="86532593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53815"/>
        <c:crosses val="max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Operating Leverage (% of 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R&amp;D % of Revenue</c:v>
          </c:tx>
          <c:spPr>
            <a:ln w="20160">
              <a:solidFill>
                <a:srgbClr val="60A5FA"/>
              </a:solidFill>
              <a:round/>
            </a:ln>
          </c:spPr>
          <c:marker>
            <c:symbol val="circle"/>
            <c:size val="5"/>
            <c:spPr>
              <a:solidFill>
                <a:srgbClr val="60A5F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KPIs'!$B$13:$F$13</c:f>
              <c:numCache>
                <c:formatCode>0.0%;\(0.0%\);\-</c:formatCode>
                <c:ptCount val="5"/>
                <c:pt idx="0">
                  <c:v>0.28854357099329681</c:v>
                </c:pt>
                <c:pt idx="1">
                  <c:v>0.3058859721082855</c:v>
                </c:pt>
                <c:pt idx="2">
                  <c:v>0.2761625665149996</c:v>
                </c:pt>
                <c:pt idx="3">
                  <c:v>0.25239578342117874</c:v>
                </c:pt>
                <c:pt idx="4">
                  <c:v>0.23640389316850408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574-8F35-20CEB45491B7}"/>
            </c:ext>
          </c:extLst>
        </c:ser>
        <c:ser>
          <c:idx val="1"/>
          <c:order val="1"/>
          <c:tx>
            <c:v>SG&amp;A % of Revenue</c:v>
          </c:tx>
          <c:spPr>
            <a:ln w="20160">
              <a:solidFill>
                <a:srgbClr val="FB7185"/>
              </a:solidFill>
              <a:round/>
            </a:ln>
          </c:spPr>
          <c:marker>
            <c:symbol val="circle"/>
            <c:size val="5"/>
            <c:spPr>
              <a:solidFill>
                <a:srgbClr val="FB718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KPIs'!$B$12:$F$12</c:f>
              <c:numCache>
                <c:formatCode>0.0%;\(0.0%\);\-</c:formatCode>
                <c:ptCount val="5"/>
                <c:pt idx="0">
                  <c:v>0.68129189518586231</c:v>
                </c:pt>
                <c:pt idx="1">
                  <c:v>0.65791632485643969</c:v>
                </c:pt>
                <c:pt idx="2">
                  <c:v>0.63013804272383744</c:v>
                </c:pt>
                <c:pt idx="3">
                  <c:v>0.60433636799233348</c:v>
                </c:pt>
                <c:pt idx="4">
                  <c:v>0.6013192490428525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F-4574-8F35-20CEB45491B7}"/>
            </c:ext>
          </c:extLst>
        </c:ser>
        <c:ser>
          <c:idx val="2"/>
          <c:order val="2"/>
          <c:tx>
            <c:v>Total OpEx % of Revenue</c:v>
          </c:tx>
          <c:spPr>
            <a:ln w="20160">
              <a:solidFill>
                <a:srgbClr val="FBBF24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FBBF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'Calculated KPIs'!$B$14:$F$14</c:f>
              <c:numCache>
                <c:formatCode>0.0%;\(0.0%\);\-</c:formatCode>
                <c:ptCount val="5"/>
                <c:pt idx="0">
                  <c:v>0.96983546617915917</c:v>
                </c:pt>
                <c:pt idx="1">
                  <c:v>0.96380229696472508</c:v>
                </c:pt>
                <c:pt idx="2">
                  <c:v>0.90630060923883704</c:v>
                </c:pt>
                <c:pt idx="3">
                  <c:v>0.85673215141351233</c:v>
                </c:pt>
                <c:pt idx="4">
                  <c:v>0.83772314221135658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F-4574-8F35-20CEB454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79921"/>
        <c:axId val="45741493"/>
      </c:lineChart>
      <c:catAx>
        <c:axId val="18579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45741493"/>
        <c:crosses val="autoZero"/>
        <c:auto val="1"/>
        <c:lblAlgn val="ctr"/>
        <c:lblOffset val="100"/>
        <c:noMultiLvlLbl val="0"/>
      </c:catAx>
      <c:valAx>
        <c:axId val="45741493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18579921"/>
        <c:crosses val="autoZero"/>
        <c:crossBetween val="between"/>
      </c:valAx>
      <c:spPr>
        <a:solidFill>
          <a:srgbClr val="141C2C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8A93A6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50" b="1" strike="noStrike" spc="-1">
                <a:solidFill>
                  <a:srgbClr val="D6DCE8"/>
                </a:solidFill>
                <a:latin typeface="Arial"/>
              </a:defRPr>
            </a:pPr>
            <a:r>
              <a:rPr lang="en-US" sz="1150" b="1" strike="noStrike" spc="-1">
                <a:solidFill>
                  <a:srgbClr val="D6DCE8"/>
                </a:solidFill>
                <a:latin typeface="Arial"/>
              </a:rPr>
              <a:t>Remaining Performance Obligations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RPO</c:v>
          </c:tx>
          <c:spPr>
            <a:solidFill>
              <a:srgbClr val="A78BF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Data'!$B$4:$F$4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'Raw Data'!$B$26:$F$26</c:f>
              <c:numCache>
                <c:formatCode>#,##0.0;\(#,##0.0\);\-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1690</c:v>
                </c:pt>
                <c:pt idx="4">
                  <c:v>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7-43BE-8C59-6DCFFD0FE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33483"/>
        <c:axId val="37768704"/>
      </c:barChart>
      <c:catAx>
        <c:axId val="70133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37768704"/>
        <c:crosses val="autoZero"/>
        <c:auto val="1"/>
        <c:lblAlgn val="ctr"/>
        <c:lblOffset val="100"/>
        <c:noMultiLvlLbl val="0"/>
      </c:catAx>
      <c:valAx>
        <c:axId val="37768704"/>
        <c:scaling>
          <c:orientation val="minMax"/>
        </c:scaling>
        <c:delete val="0"/>
        <c:axPos val="l"/>
        <c:majorGridlines>
          <c:spPr>
            <a:ln w="6120">
              <a:solidFill>
                <a:srgbClr val="26314A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4304A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A93A6"/>
                </a:solidFill>
                <a:latin typeface="Arial"/>
              </a:defRPr>
            </a:pPr>
            <a:endParaRPr lang="en-US"/>
          </a:p>
        </c:txPr>
        <c:crossAx val="70133483"/>
        <c:crosses val="autoZero"/>
        <c:crossBetween val="between"/>
      </c:valAx>
      <c:spPr>
        <a:solidFill>
          <a:srgbClr val="141C2C"/>
        </a:solidFill>
        <a:ln w="0">
          <a:noFill/>
        </a:ln>
      </c:spPr>
    </c:plotArea>
    <c:plotVisOnly val="1"/>
    <c:dispBlanksAs val="gap"/>
    <c:showDLblsOverMax val="1"/>
  </c:chart>
  <c:spPr>
    <a:solidFill>
      <a:srgbClr val="141C2C"/>
    </a:solidFill>
    <a:ln w="9360">
      <a:solidFill>
        <a:srgbClr val="24304A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55757</xdr:colOff>
      <xdr:row>8</xdr:row>
      <xdr:rowOff>27880</xdr:rowOff>
    </xdr:from>
    <xdr:to>
      <xdr:col>10</xdr:col>
      <xdr:colOff>83634</xdr:colOff>
      <xdr:row>17</xdr:row>
      <xdr:rowOff>185855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269486</xdr:colOff>
      <xdr:row>8</xdr:row>
      <xdr:rowOff>9292</xdr:rowOff>
    </xdr:from>
    <xdr:to>
      <xdr:col>20</xdr:col>
      <xdr:colOff>334536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464634</xdr:colOff>
      <xdr:row>8</xdr:row>
      <xdr:rowOff>37171</xdr:rowOff>
    </xdr:from>
    <xdr:to>
      <xdr:col>29</xdr:col>
      <xdr:colOff>879714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37172</xdr:colOff>
      <xdr:row>18</xdr:row>
      <xdr:rowOff>3</xdr:rowOff>
    </xdr:from>
    <xdr:to>
      <xdr:col>10</xdr:col>
      <xdr:colOff>83635</xdr:colOff>
      <xdr:row>29</xdr:row>
      <xdr:rowOff>55756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278548</xdr:colOff>
      <xdr:row>17</xdr:row>
      <xdr:rowOff>180513</xdr:rowOff>
    </xdr:from>
    <xdr:to>
      <xdr:col>20</xdr:col>
      <xdr:colOff>334304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473694</xdr:colOff>
      <xdr:row>17</xdr:row>
      <xdr:rowOff>170987</xdr:rowOff>
    </xdr:from>
    <xdr:to>
      <xdr:col>29</xdr:col>
      <xdr:colOff>892026</xdr:colOff>
      <xdr:row>29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46463</xdr:colOff>
      <xdr:row>29</xdr:row>
      <xdr:rowOff>65047</xdr:rowOff>
    </xdr:from>
    <xdr:to>
      <xdr:col>10</xdr:col>
      <xdr:colOff>83633</xdr:colOff>
      <xdr:row>40</xdr:row>
      <xdr:rowOff>123824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276225</xdr:colOff>
      <xdr:row>29</xdr:row>
      <xdr:rowOff>76200</xdr:rowOff>
    </xdr:from>
    <xdr:to>
      <xdr:col>20</xdr:col>
      <xdr:colOff>333375</xdr:colOff>
      <xdr:row>40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380520</xdr:colOff>
      <xdr:row>2</xdr:row>
      <xdr:rowOff>3175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0" y="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4"/>
  <sheetViews>
    <sheetView showGridLines="0" tabSelected="1" zoomScale="80" zoomScaleNormal="80" workbookViewId="0">
      <selection activeCell="AG45" sqref="AG45"/>
    </sheetView>
  </sheetViews>
  <sheetFormatPr defaultColWidth="8.6640625" defaultRowHeight="14.4" x14ac:dyDescent="0.3"/>
  <cols>
    <col min="1" max="29" width="8.21875" customWidth="1"/>
    <col min="30" max="30" width="13" customWidth="1"/>
    <col min="31" max="31" width="8.21875" customWidth="1"/>
  </cols>
  <sheetData>
    <row r="1" spans="1:31" ht="15" customHeight="1" x14ac:dyDescent="0.3">
      <c r="A1" s="8"/>
      <c r="B1" s="8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8"/>
      <c r="O1" s="8"/>
      <c r="P1" s="8"/>
      <c r="Q1" s="4" t="str">
        <f>"● DBNR "&amp;TEXT('Raw Data'!F22,"0%")&amp;" exit    "&amp;"● Large-cust. mix "&amp;TEXT('Raw Data'!F23,"0%")&amp;"    "&amp;"● Op. margin "&amp;TEXT('Calculated KPIs'!F8,"0.0%")&amp;"    "&amp;"● RPO $"&amp;TEXT('Raw Data'!F26/1000,"0.00")&amp;"B "&amp;TEXT('Calculated KPIs'!F28,"+0%;-0%")&amp;" YoY"</f>
        <v>● DBNR 120% exit    ● Large-cust. mix 69%    ● Op. margin -9.3%    ● RPO $2.50B +48% YoY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" t="s">
        <v>1</v>
      </c>
      <c r="AD1" s="3"/>
      <c r="AE1" s="3"/>
    </row>
    <row r="2" spans="1:31" ht="15" customHeight="1" x14ac:dyDescent="0.3">
      <c r="A2" s="8"/>
      <c r="B2" s="8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3"/>
      <c r="AD2" s="3"/>
      <c r="AE2" s="3"/>
    </row>
    <row r="3" spans="1:31" ht="3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" customHeight="1" x14ac:dyDescent="0.3">
      <c r="A4" s="1" t="s">
        <v>3</v>
      </c>
      <c r="B4" s="1"/>
      <c r="C4" s="1"/>
      <c r="D4" s="1"/>
      <c r="E4" s="1"/>
      <c r="F4" s="1" t="s">
        <v>4</v>
      </c>
      <c r="G4" s="1"/>
      <c r="H4" s="1"/>
      <c r="I4" s="1"/>
      <c r="J4" s="1"/>
      <c r="K4" s="1" t="s">
        <v>5</v>
      </c>
      <c r="L4" s="1"/>
      <c r="M4" s="1"/>
      <c r="N4" s="1"/>
      <c r="O4" s="1"/>
      <c r="P4" s="1" t="s">
        <v>6</v>
      </c>
      <c r="Q4" s="1"/>
      <c r="R4" s="1"/>
      <c r="S4" s="1"/>
      <c r="T4" s="1"/>
      <c r="U4" s="1" t="s">
        <v>7</v>
      </c>
      <c r="V4" s="1"/>
      <c r="W4" s="1"/>
      <c r="X4" s="1"/>
      <c r="Y4" s="1"/>
      <c r="Z4" s="1" t="s">
        <v>8</v>
      </c>
      <c r="AA4" s="1"/>
      <c r="AB4" s="1"/>
      <c r="AC4" s="1"/>
      <c r="AD4" s="1"/>
      <c r="AE4" s="10"/>
    </row>
    <row r="5" spans="1:31" ht="5.4" customHeight="1" x14ac:dyDescent="0.4">
      <c r="A5" s="55">
        <f>'Raw Data'!F6</f>
        <v>2167.9</v>
      </c>
      <c r="B5" s="55"/>
      <c r="C5" s="55"/>
      <c r="D5" s="55"/>
      <c r="E5" s="55"/>
      <c r="F5" s="56">
        <f>'Calculated KPIs'!F7</f>
        <v>0.74514507126712493</v>
      </c>
      <c r="G5" s="56"/>
      <c r="H5" s="56"/>
      <c r="I5" s="56"/>
      <c r="J5" s="56"/>
      <c r="K5" s="55">
        <f>'Raw Data'!F15</f>
        <v>281</v>
      </c>
      <c r="L5" s="55"/>
      <c r="M5" s="55"/>
      <c r="N5" s="55"/>
      <c r="O5" s="55"/>
      <c r="P5" s="57">
        <f>'Raw Data'!F22</f>
        <v>1.2</v>
      </c>
      <c r="Q5" s="57"/>
      <c r="R5" s="57"/>
      <c r="S5" s="57"/>
      <c r="T5" s="57"/>
      <c r="U5" s="58">
        <f>'Raw Data'!F20</f>
        <v>4298</v>
      </c>
      <c r="V5" s="58"/>
      <c r="W5" s="58"/>
      <c r="X5" s="58"/>
      <c r="Y5" s="58"/>
      <c r="Z5" s="59">
        <f>'Raw Data'!F13</f>
        <v>-102.3</v>
      </c>
      <c r="AA5" s="59"/>
      <c r="AB5" s="59"/>
      <c r="AC5" s="59"/>
      <c r="AD5" s="59"/>
      <c r="AE5" s="60"/>
    </row>
    <row r="6" spans="1:31" ht="14.4" customHeight="1" x14ac:dyDescent="0.4">
      <c r="A6" s="55"/>
      <c r="B6" s="55"/>
      <c r="C6" s="55"/>
      <c r="D6" s="55"/>
      <c r="E6" s="55"/>
      <c r="F6" s="56"/>
      <c r="G6" s="56"/>
      <c r="H6" s="56"/>
      <c r="I6" s="56"/>
      <c r="J6" s="56"/>
      <c r="K6" s="55"/>
      <c r="L6" s="55"/>
      <c r="M6" s="55"/>
      <c r="N6" s="55"/>
      <c r="O6" s="55"/>
      <c r="P6" s="57"/>
      <c r="Q6" s="57"/>
      <c r="R6" s="57"/>
      <c r="S6" s="57"/>
      <c r="T6" s="57"/>
      <c r="U6" s="58"/>
      <c r="V6" s="58"/>
      <c r="W6" s="58"/>
      <c r="X6" s="58"/>
      <c r="Y6" s="58"/>
      <c r="Z6" s="59"/>
      <c r="AA6" s="59"/>
      <c r="AB6" s="59"/>
      <c r="AC6" s="59"/>
      <c r="AD6" s="59"/>
      <c r="AE6" s="60"/>
    </row>
    <row r="7" spans="1:31" ht="6" customHeight="1" x14ac:dyDescent="0.4">
      <c r="A7" s="55"/>
      <c r="B7" s="55"/>
      <c r="C7" s="55"/>
      <c r="D7" s="55"/>
      <c r="E7" s="55"/>
      <c r="F7" s="56"/>
      <c r="G7" s="56"/>
      <c r="H7" s="56"/>
      <c r="I7" s="56"/>
      <c r="J7" s="56"/>
      <c r="K7" s="55"/>
      <c r="L7" s="55"/>
      <c r="M7" s="55"/>
      <c r="N7" s="55"/>
      <c r="O7" s="55"/>
      <c r="P7" s="57"/>
      <c r="Q7" s="57"/>
      <c r="R7" s="57"/>
      <c r="S7" s="57"/>
      <c r="T7" s="57"/>
      <c r="U7" s="58"/>
      <c r="V7" s="58"/>
      <c r="W7" s="58"/>
      <c r="X7" s="58"/>
      <c r="Y7" s="58"/>
      <c r="Z7" s="59"/>
      <c r="AA7" s="59"/>
      <c r="AB7" s="59"/>
      <c r="AC7" s="59"/>
      <c r="AD7" s="59"/>
      <c r="AE7" s="60"/>
    </row>
    <row r="8" spans="1:31" ht="15" customHeight="1" x14ac:dyDescent="0.3">
      <c r="A8" s="43" t="str">
        <f>"▲ "&amp;TEXT('Calculated KPIs'!F6,"0.0%")&amp;" YoY growth"</f>
        <v>▲ 29.8% YoY growth</v>
      </c>
      <c r="B8" s="43"/>
      <c r="C8" s="43"/>
      <c r="D8" s="43"/>
      <c r="E8" s="43"/>
      <c r="F8" s="44" t="str">
        <f>"vs. "&amp;TEXT('Calculated KPIs'!E7,"0.0%")&amp;" in FY24"</f>
        <v>vs. 77.3% in FY24</v>
      </c>
      <c r="G8" s="44"/>
      <c r="H8" s="44"/>
      <c r="I8" s="44"/>
      <c r="J8" s="44"/>
      <c r="K8" s="44" t="str">
        <f>TEXT('Calculated KPIs'!F10,"0.00%")&amp;" FCF margin"</f>
        <v>12.96% FCF margin</v>
      </c>
      <c r="L8" s="44"/>
      <c r="M8" s="44"/>
      <c r="N8" s="44"/>
      <c r="O8" s="44"/>
      <c r="P8" s="45" t="str">
        <f>"▼ from "&amp;TEXT('Raw Data'!B22,"0%")&amp;" in FY21"</f>
        <v>▼ from 125% in FY21</v>
      </c>
      <c r="Q8" s="45"/>
      <c r="R8" s="45"/>
      <c r="S8" s="45"/>
      <c r="T8" s="45"/>
      <c r="U8" s="43" t="str">
        <f>"▲ "&amp;TEXT('Calculated KPIs'!F21,"0.0%")&amp;" YoY  ·  &gt;$100K ARR"</f>
        <v>▲ 22.9% YoY  ·  &gt;$100K ARR</v>
      </c>
      <c r="V8" s="43"/>
      <c r="W8" s="43"/>
      <c r="X8" s="43"/>
      <c r="Y8" s="43"/>
      <c r="Z8" s="43" t="str">
        <f>"Narrowed from "&amp;TEXT('Raw Data'!B13,"$#,##0.0")&amp;"M FY21"</f>
        <v>Narrowed from -$260.3M FY21</v>
      </c>
      <c r="AA8" s="43"/>
      <c r="AB8" s="43"/>
      <c r="AC8" s="43"/>
      <c r="AD8" s="43"/>
      <c r="AE8" s="10"/>
    </row>
    <row r="9" spans="1:31" ht="15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5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5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1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1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1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46" t="s">
        <v>9</v>
      </c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ht="1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47" t="s">
        <v>10</v>
      </c>
      <c r="W32" s="47"/>
      <c r="X32" s="47"/>
      <c r="Y32" s="47"/>
      <c r="Z32" s="47"/>
      <c r="AA32" s="47"/>
      <c r="AB32" s="47"/>
      <c r="AC32" s="47"/>
      <c r="AD32" s="47"/>
      <c r="AE32" s="47"/>
    </row>
    <row r="33" spans="1:31" ht="1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48" t="s">
        <v>11</v>
      </c>
      <c r="W33" s="48"/>
      <c r="X33" s="48"/>
      <c r="Y33" s="48"/>
      <c r="Z33" s="48"/>
      <c r="AA33" s="48"/>
      <c r="AB33" s="49">
        <f>'Calculated KPIs'!$B$39</f>
        <v>0.34808621640820037</v>
      </c>
      <c r="AC33" s="49"/>
      <c r="AD33" s="49"/>
      <c r="AE33" s="49"/>
    </row>
    <row r="34" spans="1:31" ht="1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48"/>
      <c r="W34" s="48"/>
      <c r="X34" s="48"/>
      <c r="Y34" s="48"/>
      <c r="Z34" s="48"/>
      <c r="AA34" s="48"/>
      <c r="AB34" s="49"/>
      <c r="AC34" s="49"/>
      <c r="AD34" s="49"/>
      <c r="AE34" s="49"/>
    </row>
    <row r="35" spans="1:31" ht="1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48"/>
      <c r="W35" s="48"/>
      <c r="X35" s="48"/>
      <c r="Y35" s="48"/>
      <c r="Z35" s="48"/>
      <c r="AA35" s="48"/>
      <c r="AB35" s="49"/>
      <c r="AC35" s="49"/>
      <c r="AD35" s="49"/>
      <c r="AE35" s="49"/>
    </row>
    <row r="36" spans="1:31" ht="1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48" t="s">
        <v>12</v>
      </c>
      <c r="W36" s="48"/>
      <c r="X36" s="48"/>
      <c r="Y36" s="48"/>
      <c r="Z36" s="48"/>
      <c r="AA36" s="48"/>
      <c r="AB36" s="50">
        <f>'Calculated KPIs'!$B$40</f>
        <v>0.32357245603124962</v>
      </c>
      <c r="AC36" s="50"/>
      <c r="AD36" s="50"/>
      <c r="AE36" s="50"/>
    </row>
    <row r="37" spans="1:31" ht="1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48"/>
      <c r="W37" s="48"/>
      <c r="X37" s="48"/>
      <c r="Y37" s="48"/>
      <c r="Z37" s="48"/>
      <c r="AA37" s="48"/>
      <c r="AB37" s="50"/>
      <c r="AC37" s="50"/>
      <c r="AD37" s="50"/>
      <c r="AE37" s="50"/>
    </row>
    <row r="38" spans="1:31" ht="1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12"/>
      <c r="X38" s="12"/>
      <c r="Y38" s="12"/>
      <c r="Z38" s="12"/>
      <c r="AA38" s="12"/>
      <c r="AB38" s="12"/>
      <c r="AC38" s="12"/>
      <c r="AD38" s="12"/>
      <c r="AE38" s="13"/>
    </row>
    <row r="39" spans="1:31" ht="1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48" t="s">
        <v>13</v>
      </c>
      <c r="W39" s="48"/>
      <c r="X39" s="48"/>
      <c r="Y39" s="48"/>
      <c r="Z39" s="48"/>
      <c r="AA39" s="48"/>
      <c r="AB39" s="51">
        <f>'Calculated KPIs'!$B$41</f>
        <v>0.44864800093737944</v>
      </c>
      <c r="AC39" s="51"/>
      <c r="AD39" s="51"/>
      <c r="AE39" s="51"/>
    </row>
    <row r="40" spans="1:31" ht="1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48"/>
      <c r="W40" s="48"/>
      <c r="X40" s="48"/>
      <c r="Y40" s="48"/>
      <c r="Z40" s="48"/>
      <c r="AA40" s="48"/>
      <c r="AB40" s="51"/>
      <c r="AC40" s="51"/>
      <c r="AD40" s="51"/>
      <c r="AE40" s="51"/>
    </row>
    <row r="41" spans="1:31" ht="1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48"/>
      <c r="W41" s="48"/>
      <c r="X41" s="48"/>
      <c r="Y41" s="48"/>
      <c r="Z41" s="48"/>
      <c r="AA41" s="48"/>
      <c r="AB41" s="51"/>
      <c r="AC41" s="51"/>
      <c r="AD41" s="51"/>
      <c r="AE41" s="51"/>
    </row>
    <row r="42" spans="1:31" ht="1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1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2" ht="1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2" ht="1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2" ht="1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2" ht="1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2" ht="1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2" ht="1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2" ht="1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2" ht="1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2" ht="1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2" ht="1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2" ht="1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2" ht="1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61"/>
    </row>
    <row r="61" spans="1:32" ht="1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2" ht="1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2" ht="1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2" ht="1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ht="15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</row>
    <row r="67" spans="1:31" ht="1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ht="1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ht="1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ht="1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ht="1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1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ht="1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1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1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</sheetData>
  <mergeCells count="32">
    <mergeCell ref="V36:AA37"/>
    <mergeCell ref="AB36:AE37"/>
    <mergeCell ref="V39:AA41"/>
    <mergeCell ref="AB39:AE41"/>
    <mergeCell ref="A66:T66"/>
    <mergeCell ref="U66:AE66"/>
    <mergeCell ref="Z8:AD8"/>
    <mergeCell ref="V31:AE31"/>
    <mergeCell ref="V32:AE32"/>
    <mergeCell ref="V33:AA35"/>
    <mergeCell ref="AB33:AE35"/>
    <mergeCell ref="A8:E8"/>
    <mergeCell ref="F8:J8"/>
    <mergeCell ref="K8:O8"/>
    <mergeCell ref="P8:T8"/>
    <mergeCell ref="U8:Y8"/>
    <mergeCell ref="Z4:AD4"/>
    <mergeCell ref="A5:E7"/>
    <mergeCell ref="F5:J7"/>
    <mergeCell ref="K5:O7"/>
    <mergeCell ref="P5:T7"/>
    <mergeCell ref="U5:Y7"/>
    <mergeCell ref="Z5:AD7"/>
    <mergeCell ref="A4:E4"/>
    <mergeCell ref="F4:J4"/>
    <mergeCell ref="K4:O4"/>
    <mergeCell ref="P4:T4"/>
    <mergeCell ref="U4:Y4"/>
    <mergeCell ref="C1:M1"/>
    <mergeCell ref="Q1:AB1"/>
    <mergeCell ref="AC1:AE2"/>
    <mergeCell ref="C2:M2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1"/>
  <sheetViews>
    <sheetView topLeftCell="A16" zoomScaleNormal="100" workbookViewId="0">
      <selection activeCell="E18" sqref="E18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17.25" customHeight="1" x14ac:dyDescent="0.3">
      <c r="B2" s="14" t="s">
        <v>14</v>
      </c>
    </row>
    <row r="4" spans="2:2" ht="30" customHeight="1" x14ac:dyDescent="0.3">
      <c r="B4" s="15" t="s">
        <v>15</v>
      </c>
    </row>
    <row r="6" spans="2:2" ht="15.75" customHeight="1" x14ac:dyDescent="0.3">
      <c r="B6" s="16" t="s">
        <v>16</v>
      </c>
    </row>
    <row r="7" spans="2:2" ht="27.75" customHeight="1" x14ac:dyDescent="0.3">
      <c r="B7" s="17" t="s">
        <v>17</v>
      </c>
    </row>
    <row r="8" spans="2:2" ht="27.75" customHeight="1" x14ac:dyDescent="0.3">
      <c r="B8" s="17" t="s">
        <v>18</v>
      </c>
    </row>
    <row r="9" spans="2:2" ht="27.75" customHeight="1" x14ac:dyDescent="0.3">
      <c r="B9" s="17" t="s">
        <v>19</v>
      </c>
    </row>
    <row r="10" spans="2:2" ht="27.75" customHeight="1" x14ac:dyDescent="0.3">
      <c r="B10" s="17" t="s">
        <v>20</v>
      </c>
    </row>
    <row r="11" spans="2:2" ht="15.75" customHeight="1" x14ac:dyDescent="0.3">
      <c r="B11" s="18"/>
    </row>
    <row r="12" spans="2:2" ht="15.75" customHeight="1" x14ac:dyDescent="0.3">
      <c r="B12" s="16" t="s">
        <v>21</v>
      </c>
    </row>
    <row r="13" spans="2:2" ht="27.75" customHeight="1" x14ac:dyDescent="0.3">
      <c r="B13" s="17" t="s">
        <v>22</v>
      </c>
    </row>
    <row r="14" spans="2:2" ht="27.75" customHeight="1" x14ac:dyDescent="0.3">
      <c r="B14" s="17" t="s">
        <v>23</v>
      </c>
    </row>
    <row r="15" spans="2:2" ht="27.75" customHeight="1" x14ac:dyDescent="0.3">
      <c r="B15" s="17" t="s">
        <v>24</v>
      </c>
    </row>
    <row r="16" spans="2:2" ht="15.75" customHeight="1" x14ac:dyDescent="0.3">
      <c r="B16" s="18"/>
    </row>
    <row r="17" spans="2:2" ht="15.75" customHeight="1" x14ac:dyDescent="0.3">
      <c r="B17" s="16" t="s">
        <v>25</v>
      </c>
    </row>
    <row r="18" spans="2:2" ht="52.5" customHeight="1" x14ac:dyDescent="0.3">
      <c r="B18" s="17" t="s">
        <v>26</v>
      </c>
    </row>
    <row r="19" spans="2:2" ht="78.75" customHeight="1" x14ac:dyDescent="0.3">
      <c r="B19" s="17" t="s">
        <v>27</v>
      </c>
    </row>
    <row r="20" spans="2:2" ht="39" customHeight="1" x14ac:dyDescent="0.3">
      <c r="B20" s="17" t="s">
        <v>28</v>
      </c>
    </row>
    <row r="21" spans="2:2" ht="27.75" customHeight="1" x14ac:dyDescent="0.3">
      <c r="B21" s="17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5" sqref="I15"/>
    </sheetView>
  </sheetViews>
  <sheetFormatPr defaultColWidth="8.6640625" defaultRowHeight="14.4" x14ac:dyDescent="0.3"/>
  <cols>
    <col min="1" max="1" width="53.21875" customWidth="1"/>
    <col min="2" max="6" width="13" customWidth="1"/>
    <col min="7" max="7" width="46" customWidth="1"/>
  </cols>
  <sheetData>
    <row r="1" spans="1:7" ht="17.25" customHeight="1" x14ac:dyDescent="0.3">
      <c r="A1" s="7" t="s">
        <v>30</v>
      </c>
      <c r="B1" s="7"/>
      <c r="C1" s="7"/>
      <c r="D1" s="7"/>
      <c r="E1" s="7"/>
      <c r="F1" s="7"/>
      <c r="G1" s="7"/>
    </row>
    <row r="2" spans="1:7" s="19" customFormat="1" ht="13.5" customHeight="1" x14ac:dyDescent="0.3">
      <c r="A2" s="6" t="s">
        <v>31</v>
      </c>
      <c r="B2" s="6"/>
      <c r="C2" s="6"/>
      <c r="D2" s="6"/>
      <c r="E2" s="6"/>
      <c r="F2" s="6"/>
      <c r="G2" s="6"/>
    </row>
    <row r="4" spans="1:7" x14ac:dyDescent="0.3">
      <c r="A4" s="20" t="s">
        <v>32</v>
      </c>
      <c r="B4" s="21" t="s">
        <v>33</v>
      </c>
      <c r="C4" s="21" t="s">
        <v>34</v>
      </c>
      <c r="D4" s="21" t="s">
        <v>35</v>
      </c>
      <c r="E4" s="21" t="s">
        <v>36</v>
      </c>
      <c r="F4" s="21" t="s">
        <v>37</v>
      </c>
      <c r="G4" s="20" t="s">
        <v>38</v>
      </c>
    </row>
    <row r="5" spans="1:7" x14ac:dyDescent="0.3">
      <c r="A5" s="22" t="s">
        <v>39</v>
      </c>
      <c r="B5" s="23"/>
      <c r="C5" s="23"/>
      <c r="D5" s="23"/>
      <c r="E5" s="23"/>
      <c r="F5" s="23"/>
      <c r="G5" s="23"/>
    </row>
    <row r="6" spans="1:7" ht="27.75" customHeight="1" x14ac:dyDescent="0.3">
      <c r="A6" s="24" t="s">
        <v>40</v>
      </c>
      <c r="B6" s="25">
        <v>656.4</v>
      </c>
      <c r="C6" s="25">
        <v>975.2</v>
      </c>
      <c r="D6" s="25">
        <v>1296.7</v>
      </c>
      <c r="E6" s="25">
        <v>1669.6</v>
      </c>
      <c r="F6" s="25">
        <v>2167.9</v>
      </c>
      <c r="G6" s="17" t="s">
        <v>41</v>
      </c>
    </row>
    <row r="7" spans="1:7" ht="27.75" customHeight="1" x14ac:dyDescent="0.3">
      <c r="A7" s="24" t="s">
        <v>42</v>
      </c>
      <c r="B7" s="25">
        <v>147.1</v>
      </c>
      <c r="C7" s="25">
        <v>232.6</v>
      </c>
      <c r="D7" s="25">
        <v>307</v>
      </c>
      <c r="E7" s="25">
        <v>378.7</v>
      </c>
      <c r="F7" s="25">
        <v>552.5</v>
      </c>
      <c r="G7" s="17" t="s">
        <v>43</v>
      </c>
    </row>
    <row r="8" spans="1:7" ht="27.75" customHeight="1" x14ac:dyDescent="0.3">
      <c r="A8" s="24" t="s">
        <v>44</v>
      </c>
      <c r="B8" s="25">
        <v>509.3</v>
      </c>
      <c r="C8" s="25">
        <v>742.6</v>
      </c>
      <c r="D8" s="25">
        <v>989.7</v>
      </c>
      <c r="E8" s="25">
        <v>1290.9000000000001</v>
      </c>
      <c r="F8" s="25">
        <v>1615.4</v>
      </c>
      <c r="G8" s="17" t="s">
        <v>45</v>
      </c>
    </row>
    <row r="9" spans="1:7" ht="27.75" customHeight="1" x14ac:dyDescent="0.3">
      <c r="A9" s="24" t="s">
        <v>46</v>
      </c>
      <c r="B9" s="26">
        <v>447.2</v>
      </c>
      <c r="C9" s="26">
        <v>641.6</v>
      </c>
      <c r="D9" s="26">
        <v>817.1</v>
      </c>
      <c r="E9" s="26">
        <v>1009</v>
      </c>
      <c r="F9" s="26">
        <v>1303.5999999999999</v>
      </c>
      <c r="G9" s="17" t="s">
        <v>47</v>
      </c>
    </row>
    <row r="10" spans="1:7" ht="27.75" customHeight="1" x14ac:dyDescent="0.3">
      <c r="A10" s="24" t="s">
        <v>48</v>
      </c>
      <c r="B10" s="25">
        <v>189.4</v>
      </c>
      <c r="C10" s="25">
        <v>298.3</v>
      </c>
      <c r="D10" s="25">
        <v>358.1</v>
      </c>
      <c r="E10" s="25">
        <v>421.4</v>
      </c>
      <c r="F10" s="25">
        <v>512.5</v>
      </c>
      <c r="G10" s="17" t="s">
        <v>49</v>
      </c>
    </row>
    <row r="11" spans="1:7" ht="27.75" customHeight="1" x14ac:dyDescent="0.3">
      <c r="A11" s="24" t="s">
        <v>50</v>
      </c>
      <c r="B11" s="25">
        <v>636.6</v>
      </c>
      <c r="C11" s="25">
        <v>939.9</v>
      </c>
      <c r="D11" s="25">
        <v>1175.2</v>
      </c>
      <c r="E11" s="25">
        <v>1430.4</v>
      </c>
      <c r="F11" s="25">
        <v>1816.1</v>
      </c>
      <c r="G11" s="17" t="s">
        <v>51</v>
      </c>
    </row>
    <row r="12" spans="1:7" ht="27.75" customHeight="1" x14ac:dyDescent="0.3">
      <c r="A12" s="24" t="s">
        <v>52</v>
      </c>
      <c r="B12" s="26">
        <v>-127.3</v>
      </c>
      <c r="C12" s="26">
        <v>-197.3</v>
      </c>
      <c r="D12" s="26">
        <v>-185.5</v>
      </c>
      <c r="E12" s="26">
        <v>-139.1</v>
      </c>
      <c r="F12" s="26">
        <v>-201.1</v>
      </c>
      <c r="G12" s="17" t="s">
        <v>53</v>
      </c>
    </row>
    <row r="13" spans="1:7" ht="27.75" customHeight="1" x14ac:dyDescent="0.3">
      <c r="A13" s="24" t="s">
        <v>54</v>
      </c>
      <c r="B13" s="25">
        <v>-260.3</v>
      </c>
      <c r="C13" s="25">
        <v>-193.4</v>
      </c>
      <c r="D13" s="25">
        <v>-184</v>
      </c>
      <c r="E13" s="25">
        <v>-78.8</v>
      </c>
      <c r="F13" s="25">
        <v>-102.3</v>
      </c>
      <c r="G13" s="17" t="s">
        <v>55</v>
      </c>
    </row>
    <row r="14" spans="1:7" ht="27.75" customHeight="1" x14ac:dyDescent="0.3">
      <c r="A14" s="24" t="s">
        <v>56</v>
      </c>
      <c r="B14" s="25">
        <v>64.7</v>
      </c>
      <c r="C14" s="25">
        <v>123.6</v>
      </c>
      <c r="D14" s="25">
        <v>254.4</v>
      </c>
      <c r="E14" s="25">
        <v>380.4</v>
      </c>
      <c r="F14" s="25">
        <v>603.1</v>
      </c>
      <c r="G14" s="17" t="s">
        <v>57</v>
      </c>
    </row>
    <row r="15" spans="1:7" ht="27.75" customHeight="1" x14ac:dyDescent="0.3">
      <c r="A15" s="24" t="s">
        <v>58</v>
      </c>
      <c r="B15" s="25">
        <v>-28.3</v>
      </c>
      <c r="C15" s="25">
        <v>-20</v>
      </c>
      <c r="D15" s="25">
        <v>133.9</v>
      </c>
      <c r="E15" s="25">
        <v>180.5</v>
      </c>
      <c r="F15" s="25">
        <v>281</v>
      </c>
      <c r="G15" s="17" t="s">
        <v>59</v>
      </c>
    </row>
    <row r="16" spans="1:7" ht="27.75" customHeight="1" x14ac:dyDescent="0.3">
      <c r="A16" s="24" t="s">
        <v>60</v>
      </c>
      <c r="B16" s="25">
        <v>1822</v>
      </c>
      <c r="C16" s="25">
        <v>1650</v>
      </c>
      <c r="D16" s="25">
        <v>1673.7</v>
      </c>
      <c r="E16" s="25">
        <v>1855.9</v>
      </c>
      <c r="F16" s="25">
        <v>4101</v>
      </c>
      <c r="G16" s="17" t="s">
        <v>61</v>
      </c>
    </row>
    <row r="17" spans="1:7" x14ac:dyDescent="0.3">
      <c r="B17" s="27"/>
      <c r="C17" s="27"/>
      <c r="D17" s="27"/>
      <c r="E17" s="27"/>
      <c r="F17" s="27"/>
      <c r="G17" s="28"/>
    </row>
    <row r="18" spans="1:7" x14ac:dyDescent="0.3">
      <c r="A18" s="22" t="s">
        <v>62</v>
      </c>
      <c r="B18" s="29"/>
      <c r="C18" s="29"/>
      <c r="D18" s="29"/>
      <c r="E18" s="29"/>
      <c r="F18" s="29"/>
      <c r="G18" s="30"/>
    </row>
    <row r="19" spans="1:7" ht="27.75" customHeight="1" x14ac:dyDescent="0.3">
      <c r="A19" s="24" t="s">
        <v>63</v>
      </c>
      <c r="B19" s="31">
        <v>140.1</v>
      </c>
      <c r="C19" s="32" t="s">
        <v>64</v>
      </c>
      <c r="D19" s="31">
        <v>189.8</v>
      </c>
      <c r="E19" s="31">
        <v>237.7</v>
      </c>
      <c r="F19" s="31">
        <v>332.5</v>
      </c>
      <c r="G19" s="17" t="s">
        <v>65</v>
      </c>
    </row>
    <row r="20" spans="1:7" ht="27.75" customHeight="1" x14ac:dyDescent="0.3">
      <c r="A20" s="24" t="s">
        <v>66</v>
      </c>
      <c r="B20" s="33">
        <v>1416</v>
      </c>
      <c r="C20" s="33">
        <v>2042</v>
      </c>
      <c r="D20" s="33">
        <v>2756</v>
      </c>
      <c r="E20" s="33">
        <v>3497</v>
      </c>
      <c r="F20" s="33">
        <v>4298</v>
      </c>
      <c r="G20" s="17" t="s">
        <v>67</v>
      </c>
    </row>
    <row r="21" spans="1:7" ht="27.75" customHeight="1" x14ac:dyDescent="0.3">
      <c r="A21" s="24" t="s">
        <v>68</v>
      </c>
      <c r="B21" s="32" t="s">
        <v>64</v>
      </c>
      <c r="C21" s="31">
        <v>85</v>
      </c>
      <c r="D21" s="31">
        <v>118</v>
      </c>
      <c r="E21" s="31">
        <v>173</v>
      </c>
      <c r="F21" s="31">
        <v>269</v>
      </c>
      <c r="G21" s="17" t="s">
        <v>69</v>
      </c>
    </row>
    <row r="22" spans="1:7" ht="27.75" customHeight="1" x14ac:dyDescent="0.3">
      <c r="A22" s="24" t="s">
        <v>70</v>
      </c>
      <c r="B22" s="34">
        <v>1.25</v>
      </c>
      <c r="C22" s="34">
        <v>1.22</v>
      </c>
      <c r="D22" s="34">
        <v>1.1499999999999999</v>
      </c>
      <c r="E22" s="34">
        <v>1.1100000000000001</v>
      </c>
      <c r="F22" s="34">
        <v>1.2</v>
      </c>
      <c r="G22" s="17" t="s">
        <v>71</v>
      </c>
    </row>
    <row r="23" spans="1:7" ht="27.75" customHeight="1" x14ac:dyDescent="0.3">
      <c r="A23" s="24" t="s">
        <v>72</v>
      </c>
      <c r="B23" s="34">
        <v>0.54</v>
      </c>
      <c r="C23" s="34">
        <v>0.61</v>
      </c>
      <c r="D23" s="34">
        <v>0.64</v>
      </c>
      <c r="E23" s="34">
        <v>0.67</v>
      </c>
      <c r="F23" s="34">
        <v>0.69</v>
      </c>
      <c r="G23" s="17" t="s">
        <v>73</v>
      </c>
    </row>
    <row r="24" spans="1:7" x14ac:dyDescent="0.3">
      <c r="B24" s="27"/>
      <c r="C24" s="27"/>
      <c r="D24" s="27"/>
      <c r="E24" s="27"/>
      <c r="F24" s="27"/>
      <c r="G24" s="28"/>
    </row>
    <row r="25" spans="1:7" x14ac:dyDescent="0.3">
      <c r="A25" s="22" t="s">
        <v>74</v>
      </c>
      <c r="B25" s="29"/>
      <c r="C25" s="29"/>
      <c r="D25" s="29"/>
      <c r="E25" s="29"/>
      <c r="F25" s="29"/>
      <c r="G25" s="30"/>
    </row>
    <row r="26" spans="1:7" ht="27.75" customHeight="1" x14ac:dyDescent="0.3">
      <c r="A26" s="24" t="s">
        <v>75</v>
      </c>
      <c r="B26" s="35" t="s">
        <v>64</v>
      </c>
      <c r="C26" s="35" t="s">
        <v>64</v>
      </c>
      <c r="D26" s="35" t="s">
        <v>64</v>
      </c>
      <c r="E26" s="26">
        <v>1690</v>
      </c>
      <c r="F26" s="26">
        <v>2496</v>
      </c>
      <c r="G26" s="17" t="s">
        <v>76</v>
      </c>
    </row>
    <row r="27" spans="1:7" x14ac:dyDescent="0.3">
      <c r="B27" s="27"/>
      <c r="C27" s="27"/>
      <c r="D27" s="27"/>
      <c r="E27" s="27"/>
      <c r="F27" s="27"/>
      <c r="G27" s="28"/>
    </row>
    <row r="28" spans="1:7" x14ac:dyDescent="0.3">
      <c r="A28" s="22" t="s">
        <v>77</v>
      </c>
      <c r="B28" s="29"/>
      <c r="C28" s="29"/>
      <c r="D28" s="29"/>
      <c r="E28" s="29"/>
      <c r="F28" s="29"/>
      <c r="G28" s="30"/>
    </row>
    <row r="29" spans="1:7" ht="27.75" customHeight="1" x14ac:dyDescent="0.3">
      <c r="A29" s="24" t="s">
        <v>78</v>
      </c>
      <c r="B29" s="25">
        <v>342.6</v>
      </c>
      <c r="C29" s="25">
        <v>515.70000000000005</v>
      </c>
      <c r="D29" s="25">
        <v>678.2</v>
      </c>
      <c r="E29" s="25">
        <v>849.5</v>
      </c>
      <c r="F29" s="25">
        <v>1073</v>
      </c>
      <c r="G29" s="17" t="s">
        <v>79</v>
      </c>
    </row>
    <row r="30" spans="1:7" ht="27.75" customHeight="1" x14ac:dyDescent="0.3">
      <c r="A30" s="24" t="s">
        <v>80</v>
      </c>
      <c r="B30" s="25">
        <v>172.1</v>
      </c>
      <c r="C30" s="25">
        <v>258.3</v>
      </c>
      <c r="D30" s="25">
        <v>356.6</v>
      </c>
      <c r="E30" s="25">
        <v>466.5</v>
      </c>
      <c r="F30" s="25">
        <v>598.6</v>
      </c>
      <c r="G30" s="17" t="s">
        <v>81</v>
      </c>
    </row>
    <row r="31" spans="1:7" ht="27.75" customHeight="1" x14ac:dyDescent="0.3">
      <c r="A31" s="24" t="s">
        <v>82</v>
      </c>
      <c r="B31" s="25">
        <v>96.5</v>
      </c>
      <c r="C31" s="25">
        <v>133.4</v>
      </c>
      <c r="D31" s="25">
        <v>168.8</v>
      </c>
      <c r="E31" s="25">
        <v>223.2</v>
      </c>
      <c r="F31" s="25">
        <v>329.8</v>
      </c>
      <c r="G31" s="17" t="s">
        <v>81</v>
      </c>
    </row>
    <row r="32" spans="1:7" ht="27.75" customHeight="1" x14ac:dyDescent="0.3">
      <c r="A32" s="24" t="s">
        <v>83</v>
      </c>
      <c r="B32" s="25">
        <v>45.2</v>
      </c>
      <c r="C32" s="25">
        <v>67.900000000000006</v>
      </c>
      <c r="D32" s="25">
        <v>93.2</v>
      </c>
      <c r="E32" s="25">
        <v>130.4</v>
      </c>
      <c r="F32" s="25">
        <v>166.6</v>
      </c>
      <c r="G32" s="17" t="s">
        <v>84</v>
      </c>
    </row>
  </sheetData>
  <mergeCells count="2">
    <mergeCell ref="A1:G1"/>
    <mergeCell ref="A2:G2"/>
  </mergeCells>
  <conditionalFormatting sqref="B6:F32">
    <cfRule type="containsText" dxfId="1" priority="2" operator="containsText" text="n/a">
      <formula>NOT(ISERROR(SEARCH("n/a",B6)))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zoomScaleNormal="100" workbookViewId="0">
      <pane xSplit="1" ySplit="4" topLeftCell="B20" activePane="bottomRight" state="frozen"/>
      <selection pane="topRight" activeCell="B1" sqref="B1"/>
      <selection pane="bottomLeft" activeCell="A20" sqref="A20"/>
      <selection pane="bottomRight" activeCell="D42" sqref="D42"/>
    </sheetView>
  </sheetViews>
  <sheetFormatPr defaultColWidth="8.6640625" defaultRowHeight="14.4" x14ac:dyDescent="0.3"/>
  <cols>
    <col min="1" max="1" width="71.6640625" customWidth="1"/>
    <col min="2" max="6" width="13" customWidth="1"/>
  </cols>
  <sheetData>
    <row r="1" spans="1:6" ht="17.25" customHeight="1" x14ac:dyDescent="0.3">
      <c r="A1" s="7" t="s">
        <v>85</v>
      </c>
      <c r="B1" s="7"/>
      <c r="C1" s="7"/>
      <c r="D1" s="7"/>
      <c r="E1" s="7"/>
      <c r="F1" s="7"/>
    </row>
    <row r="2" spans="1:6" s="19" customFormat="1" ht="13.5" customHeight="1" x14ac:dyDescent="0.3">
      <c r="A2" s="54"/>
      <c r="B2" s="54"/>
      <c r="C2" s="54"/>
      <c r="D2" s="54"/>
      <c r="E2" s="54"/>
      <c r="F2" s="54"/>
    </row>
    <row r="4" spans="1:6" x14ac:dyDescent="0.3">
      <c r="A4" s="20" t="s">
        <v>86</v>
      </c>
      <c r="B4" s="21" t="s">
        <v>33</v>
      </c>
      <c r="C4" s="21" t="s">
        <v>34</v>
      </c>
      <c r="D4" s="21" t="s">
        <v>35</v>
      </c>
      <c r="E4" s="21" t="s">
        <v>36</v>
      </c>
      <c r="F4" s="21" t="s">
        <v>37</v>
      </c>
    </row>
    <row r="5" spans="1:6" x14ac:dyDescent="0.3">
      <c r="A5" s="22" t="s">
        <v>87</v>
      </c>
      <c r="B5" s="23"/>
      <c r="C5" s="23"/>
      <c r="D5" s="23"/>
      <c r="E5" s="23"/>
      <c r="F5" s="23"/>
    </row>
    <row r="6" spans="1:6" ht="15.75" customHeight="1" x14ac:dyDescent="0.3">
      <c r="A6" s="24" t="s">
        <v>88</v>
      </c>
      <c r="B6" s="36" t="s">
        <v>64</v>
      </c>
      <c r="C6" s="37">
        <f>IFERROR('Raw Data'!C6/'Raw Data'!B6-1,"n/a")</f>
        <v>0.48567946374162108</v>
      </c>
      <c r="D6" s="37">
        <f>IFERROR('Raw Data'!D6/'Raw Data'!C6-1,"n/a")</f>
        <v>0.32967596390484011</v>
      </c>
      <c r="E6" s="37">
        <f>IFERROR('Raw Data'!E6/'Raw Data'!D6-1,"n/a")</f>
        <v>0.28757615485463095</v>
      </c>
      <c r="F6" s="37">
        <f>IFERROR('Raw Data'!F6/'Raw Data'!E6-1,"n/a")</f>
        <v>0.29845471969333981</v>
      </c>
    </row>
    <row r="7" spans="1:6" ht="15.75" customHeight="1" x14ac:dyDescent="0.3">
      <c r="A7" s="24" t="s">
        <v>89</v>
      </c>
      <c r="B7" s="37">
        <f>IFERROR('Raw Data'!B8/'Raw Data'!B6,"n/a")</f>
        <v>0.77589884216940896</v>
      </c>
      <c r="C7" s="37">
        <f>IFERROR('Raw Data'!C8/'Raw Data'!C6,"n/a")</f>
        <v>0.76148482362592285</v>
      </c>
      <c r="D7" s="37">
        <f>IFERROR('Raw Data'!D8/'Raw Data'!D6,"n/a")</f>
        <v>0.76324516079278171</v>
      </c>
      <c r="E7" s="37">
        <f>IFERROR('Raw Data'!E8/'Raw Data'!E6,"n/a")</f>
        <v>0.7731792045999043</v>
      </c>
      <c r="F7" s="37">
        <f>IFERROR('Raw Data'!F8/'Raw Data'!F6,"n/a")</f>
        <v>0.74514507126712493</v>
      </c>
    </row>
    <row r="8" spans="1:6" ht="15.75" customHeight="1" x14ac:dyDescent="0.3">
      <c r="A8" s="24" t="s">
        <v>90</v>
      </c>
      <c r="B8" s="37">
        <f>IFERROR('Raw Data'!B12/'Raw Data'!B6,"n/a")</f>
        <v>-0.19393662400975015</v>
      </c>
      <c r="C8" s="37">
        <f>IFERROR('Raw Data'!C12/'Raw Data'!C6,"n/a")</f>
        <v>-0.20231747333880229</v>
      </c>
      <c r="D8" s="37">
        <f>IFERROR('Raw Data'!D12/'Raw Data'!D6,"n/a")</f>
        <v>-0.14305544844605536</v>
      </c>
      <c r="E8" s="37">
        <f>IFERROR('Raw Data'!E12/'Raw Data'!E6,"n/a")</f>
        <v>-8.3313368471490179E-2</v>
      </c>
      <c r="F8" s="37">
        <f>IFERROR('Raw Data'!F12/'Raw Data'!F6,"n/a")</f>
        <v>-9.2762581299875455E-2</v>
      </c>
    </row>
    <row r="9" spans="1:6" ht="15.75" customHeight="1" x14ac:dyDescent="0.3">
      <c r="A9" s="24" t="s">
        <v>91</v>
      </c>
      <c r="B9" s="37">
        <f>IFERROR('Raw Data'!B13/'Raw Data'!B6,"n/a")</f>
        <v>-0.39655697745277274</v>
      </c>
      <c r="C9" s="37">
        <f>IFERROR('Raw Data'!C13/'Raw Data'!C6,"n/a")</f>
        <v>-0.198318293683347</v>
      </c>
      <c r="D9" s="37">
        <f>IFERROR('Raw Data'!D13/'Raw Data'!D6,"n/a")</f>
        <v>-0.14189866584406571</v>
      </c>
      <c r="E9" s="37">
        <f>IFERROR('Raw Data'!E13/'Raw Data'!E6,"n/a")</f>
        <v>-4.7196933397220892E-2</v>
      </c>
      <c r="F9" s="37">
        <f>IFERROR('Raw Data'!F13/'Raw Data'!F6,"n/a")</f>
        <v>-4.7188523455878956E-2</v>
      </c>
    </row>
    <row r="10" spans="1:6" ht="15.75" customHeight="1" x14ac:dyDescent="0.3">
      <c r="A10" s="24" t="s">
        <v>92</v>
      </c>
      <c r="B10" s="37">
        <f>IFERROR('Raw Data'!B15/'Raw Data'!B6,"n/a")</f>
        <v>-4.3113954905545399E-2</v>
      </c>
      <c r="C10" s="37">
        <f>IFERROR('Raw Data'!C15/'Raw Data'!C6,"n/a")</f>
        <v>-2.050861361771944E-2</v>
      </c>
      <c r="D10" s="37">
        <f>IFERROR('Raw Data'!D15/'Raw Data'!D6,"n/a")</f>
        <v>0.10326212693761086</v>
      </c>
      <c r="E10" s="37">
        <f>IFERROR('Raw Data'!E15/'Raw Data'!E6,"n/a")</f>
        <v>0.10810972688069</v>
      </c>
      <c r="F10" s="37">
        <f>IFERROR('Raw Data'!F15/'Raw Data'!F6,"n/a")</f>
        <v>0.12961852483970662</v>
      </c>
    </row>
    <row r="11" spans="1:6" ht="15.75" customHeight="1" x14ac:dyDescent="0.3">
      <c r="A11" s="24" t="s">
        <v>93</v>
      </c>
      <c r="B11" s="37">
        <f>IFERROR('Raw Data'!B7/'Raw Data'!B6,"n/a")</f>
        <v>0.22410115783059109</v>
      </c>
      <c r="C11" s="37">
        <f>IFERROR('Raw Data'!C7/'Raw Data'!C6,"n/a")</f>
        <v>0.2385151763740771</v>
      </c>
      <c r="D11" s="37">
        <f>IFERROR('Raw Data'!D7/'Raw Data'!D6,"n/a")</f>
        <v>0.23675483920721832</v>
      </c>
      <c r="E11" s="37">
        <f>IFERROR('Raw Data'!E7/'Raw Data'!E6,"n/a")</f>
        <v>0.22682079540009584</v>
      </c>
      <c r="F11" s="37">
        <f>IFERROR('Raw Data'!F7/'Raw Data'!F6,"n/a")</f>
        <v>0.25485492873287513</v>
      </c>
    </row>
    <row r="12" spans="1:6" ht="15.75" customHeight="1" x14ac:dyDescent="0.3">
      <c r="A12" s="24" t="s">
        <v>94</v>
      </c>
      <c r="B12" s="37">
        <f>IFERROR('Raw Data'!B9/'Raw Data'!B6,"n/a")</f>
        <v>0.68129189518586231</v>
      </c>
      <c r="C12" s="37">
        <f>IFERROR('Raw Data'!C9/'Raw Data'!C6,"n/a")</f>
        <v>0.65791632485643969</v>
      </c>
      <c r="D12" s="37">
        <f>IFERROR('Raw Data'!D9/'Raw Data'!D6,"n/a")</f>
        <v>0.63013804272383744</v>
      </c>
      <c r="E12" s="37">
        <f>IFERROR('Raw Data'!E9/'Raw Data'!E6,"n/a")</f>
        <v>0.60433636799233348</v>
      </c>
      <c r="F12" s="37">
        <f>IFERROR('Raw Data'!F9/'Raw Data'!F6,"n/a")</f>
        <v>0.6013192490428525</v>
      </c>
    </row>
    <row r="13" spans="1:6" ht="15.75" customHeight="1" x14ac:dyDescent="0.3">
      <c r="A13" s="24" t="s">
        <v>95</v>
      </c>
      <c r="B13" s="37">
        <f>IFERROR('Raw Data'!B10/'Raw Data'!B6,"n/a")</f>
        <v>0.28854357099329681</v>
      </c>
      <c r="C13" s="37">
        <f>IFERROR('Raw Data'!C10/'Raw Data'!C6,"n/a")</f>
        <v>0.3058859721082855</v>
      </c>
      <c r="D13" s="37">
        <f>IFERROR('Raw Data'!D10/'Raw Data'!D6,"n/a")</f>
        <v>0.2761625665149996</v>
      </c>
      <c r="E13" s="37">
        <f>IFERROR('Raw Data'!E10/'Raw Data'!E6,"n/a")</f>
        <v>0.25239578342117874</v>
      </c>
      <c r="F13" s="37">
        <f>IFERROR('Raw Data'!F10/'Raw Data'!F6,"n/a")</f>
        <v>0.23640389316850408</v>
      </c>
    </row>
    <row r="14" spans="1:6" ht="15.75" customHeight="1" x14ac:dyDescent="0.3">
      <c r="A14" s="24" t="s">
        <v>96</v>
      </c>
      <c r="B14" s="37">
        <f>IFERROR('Raw Data'!B11/'Raw Data'!B6,"n/a")</f>
        <v>0.96983546617915917</v>
      </c>
      <c r="C14" s="37">
        <f>IFERROR('Raw Data'!C11/'Raw Data'!C6,"n/a")</f>
        <v>0.96380229696472508</v>
      </c>
      <c r="D14" s="37">
        <f>IFERROR('Raw Data'!D11/'Raw Data'!D6,"n/a")</f>
        <v>0.90630060923883704</v>
      </c>
      <c r="E14" s="37">
        <f>IFERROR('Raw Data'!E11/'Raw Data'!E6,"n/a")</f>
        <v>0.85673215141351233</v>
      </c>
      <c r="F14" s="37">
        <f>IFERROR('Raw Data'!F11/'Raw Data'!F6,"n/a")</f>
        <v>0.83772314221135658</v>
      </c>
    </row>
    <row r="15" spans="1:6" ht="15.75" customHeight="1" x14ac:dyDescent="0.3">
      <c r="A15" s="24" t="s">
        <v>97</v>
      </c>
      <c r="B15" s="36" t="s">
        <v>64</v>
      </c>
      <c r="C15" s="37">
        <f>IFERROR('Raw Data'!C14/'Raw Data'!B14-1,"n/a")</f>
        <v>0.91035548686244194</v>
      </c>
      <c r="D15" s="37">
        <f>IFERROR('Raw Data'!D14/'Raw Data'!C14-1,"n/a")</f>
        <v>1.058252427184466</v>
      </c>
      <c r="E15" s="37">
        <f>IFERROR('Raw Data'!E14/'Raw Data'!D14-1,"n/a")</f>
        <v>0.49528301886792447</v>
      </c>
      <c r="F15" s="37">
        <f>IFERROR('Raw Data'!F14/'Raw Data'!E14-1,"n/a")</f>
        <v>0.58543638275499488</v>
      </c>
    </row>
    <row r="16" spans="1:6" ht="15.75" customHeight="1" x14ac:dyDescent="0.3">
      <c r="A16" s="24" t="s">
        <v>98</v>
      </c>
      <c r="B16" s="36" t="s">
        <v>64</v>
      </c>
      <c r="C16" s="37">
        <f>IFERROR('Raw Data'!C15/'Raw Data'!B15-1,"n/a")</f>
        <v>-0.29328621908127206</v>
      </c>
      <c r="D16" s="37">
        <f>IFERROR('Raw Data'!D15/'Raw Data'!C15-1,"n/a")</f>
        <v>-7.6950000000000003</v>
      </c>
      <c r="E16" s="37">
        <f>IFERROR('Raw Data'!E15/'Raw Data'!D15-1,"n/a")</f>
        <v>0.34802091112770728</v>
      </c>
      <c r="F16" s="37">
        <f>IFERROR('Raw Data'!F15/'Raw Data'!E15-1,"n/a")</f>
        <v>0.55678670360110805</v>
      </c>
    </row>
    <row r="17" spans="1:6" ht="15.75" customHeight="1" x14ac:dyDescent="0.3">
      <c r="A17" s="24" t="s">
        <v>99</v>
      </c>
      <c r="B17" s="36" t="s">
        <v>64</v>
      </c>
      <c r="C17" s="37">
        <f>IFERROR('Raw Data'!C16/'Raw Data'!B16-1,"n/a")</f>
        <v>-9.44017563117453E-2</v>
      </c>
      <c r="D17" s="37">
        <f>IFERROR('Raw Data'!D16/'Raw Data'!C16-1,"n/a")</f>
        <v>1.4363636363636356E-2</v>
      </c>
      <c r="E17" s="37">
        <f>IFERROR('Raw Data'!E16/'Raw Data'!D16-1,"n/a")</f>
        <v>0.10886060823325572</v>
      </c>
      <c r="F17" s="37">
        <f>IFERROR('Raw Data'!F16/'Raw Data'!E16-1,"n/a")</f>
        <v>1.2097095748693354</v>
      </c>
    </row>
    <row r="19" spans="1:6" x14ac:dyDescent="0.3">
      <c r="A19" s="22" t="s">
        <v>62</v>
      </c>
      <c r="B19" s="23"/>
      <c r="C19" s="23"/>
      <c r="D19" s="23"/>
      <c r="E19" s="23"/>
      <c r="F19" s="23"/>
    </row>
    <row r="20" spans="1:6" ht="15.75" customHeight="1" x14ac:dyDescent="0.3">
      <c r="A20" s="24" t="s">
        <v>100</v>
      </c>
      <c r="B20" s="38" t="s">
        <v>64</v>
      </c>
      <c r="C20" s="39" t="str">
        <f>IFERROR('Raw Data'!C19/'Raw Data'!B19-1,"n/a")</f>
        <v>n/a</v>
      </c>
      <c r="D20" s="39" t="str">
        <f>IFERROR('Raw Data'!D19/'Raw Data'!C19-1,"n/a")</f>
        <v>n/a</v>
      </c>
      <c r="E20" s="39">
        <f>IFERROR('Raw Data'!E19/'Raw Data'!D19-1,"n/a")</f>
        <v>0.25237091675447831</v>
      </c>
      <c r="F20" s="39">
        <f>IFERROR('Raw Data'!F19/'Raw Data'!E19-1,"n/a")</f>
        <v>0.39882204459402626</v>
      </c>
    </row>
    <row r="21" spans="1:6" ht="15.75" customHeight="1" x14ac:dyDescent="0.3">
      <c r="A21" s="24" t="s">
        <v>101</v>
      </c>
      <c r="B21" s="38" t="s">
        <v>64</v>
      </c>
      <c r="C21" s="39">
        <f>IFERROR('Raw Data'!C20/'Raw Data'!B20-1,"n/a")</f>
        <v>0.44209039548022599</v>
      </c>
      <c r="D21" s="39">
        <f>IFERROR('Raw Data'!D20/'Raw Data'!C20-1,"n/a")</f>
        <v>0.34965719882468171</v>
      </c>
      <c r="E21" s="39">
        <f>IFERROR('Raw Data'!E20/'Raw Data'!D20-1,"n/a")</f>
        <v>0.26886792452830188</v>
      </c>
      <c r="F21" s="39">
        <f>IFERROR('Raw Data'!F20/'Raw Data'!E20-1,"n/a")</f>
        <v>0.22905347440663415</v>
      </c>
    </row>
    <row r="22" spans="1:6" ht="15.75" customHeight="1" x14ac:dyDescent="0.3">
      <c r="A22" s="24" t="s">
        <v>102</v>
      </c>
      <c r="B22" s="38" t="s">
        <v>64</v>
      </c>
      <c r="C22" s="39" t="str">
        <f>IFERROR('Raw Data'!C21/'Raw Data'!B21-1,"n/a")</f>
        <v>n/a</v>
      </c>
      <c r="D22" s="39">
        <f>IFERROR('Raw Data'!D21/'Raw Data'!C21-1,"n/a")</f>
        <v>0.38823529411764701</v>
      </c>
      <c r="E22" s="39">
        <f>IFERROR('Raw Data'!E21/'Raw Data'!D21-1,"n/a")</f>
        <v>0.46610169491525433</v>
      </c>
      <c r="F22" s="39">
        <f>IFERROR('Raw Data'!F21/'Raw Data'!E21-1,"n/a")</f>
        <v>0.55491329479768781</v>
      </c>
    </row>
    <row r="23" spans="1:6" ht="15.75" customHeight="1" x14ac:dyDescent="0.3">
      <c r="A23" s="24" t="s">
        <v>103</v>
      </c>
      <c r="B23" s="40">
        <f>IFERROR('Raw Data'!B6/'Raw Data'!B19,"n/a")</f>
        <v>4.6852248394004281</v>
      </c>
      <c r="C23" s="40" t="str">
        <f>IFERROR('Raw Data'!C6/'Raw Data'!C19,"n/a")</f>
        <v>n/a</v>
      </c>
      <c r="D23" s="40">
        <f>IFERROR('Raw Data'!D6/'Raw Data'!D19,"n/a")</f>
        <v>6.8319283456269755</v>
      </c>
      <c r="E23" s="40">
        <f>IFERROR('Raw Data'!E6/'Raw Data'!E19,"n/a")</f>
        <v>7.0239798064787546</v>
      </c>
      <c r="F23" s="40">
        <f>IFERROR('Raw Data'!F6/'Raw Data'!F19,"n/a")</f>
        <v>6.5200000000000005</v>
      </c>
    </row>
    <row r="24" spans="1:6" ht="15.75" customHeight="1" x14ac:dyDescent="0.3">
      <c r="A24" s="24" t="s">
        <v>104</v>
      </c>
      <c r="B24" s="39">
        <f>IFERROR('Raw Data'!B23,"n/a")</f>
        <v>0.54</v>
      </c>
      <c r="C24" s="39">
        <f>IFERROR('Raw Data'!C23,"n/a")</f>
        <v>0.61</v>
      </c>
      <c r="D24" s="39">
        <f>IFERROR('Raw Data'!D23,"n/a")</f>
        <v>0.64</v>
      </c>
      <c r="E24" s="39">
        <f>IFERROR('Raw Data'!E23,"n/a")</f>
        <v>0.67</v>
      </c>
      <c r="F24" s="39">
        <f>IFERROR('Raw Data'!F23,"n/a")</f>
        <v>0.69</v>
      </c>
    </row>
    <row r="25" spans="1:6" ht="15.75" customHeight="1" x14ac:dyDescent="0.3">
      <c r="A25" s="24" t="s">
        <v>105</v>
      </c>
      <c r="B25" s="39">
        <f>IFERROR('Raw Data'!B22,"n/a")</f>
        <v>1.25</v>
      </c>
      <c r="C25" s="39">
        <f>IFERROR('Raw Data'!C22,"n/a")</f>
        <v>1.22</v>
      </c>
      <c r="D25" s="39">
        <f>IFERROR('Raw Data'!D22,"n/a")</f>
        <v>1.1499999999999999</v>
      </c>
      <c r="E25" s="39">
        <f>IFERROR('Raw Data'!E22,"n/a")</f>
        <v>1.1100000000000001</v>
      </c>
      <c r="F25" s="39">
        <f>IFERROR('Raw Data'!F22,"n/a")</f>
        <v>1.2</v>
      </c>
    </row>
    <row r="26" spans="1:6" x14ac:dyDescent="0.3">
      <c r="B26" s="41"/>
      <c r="C26" s="41"/>
      <c r="D26" s="41"/>
      <c r="E26" s="41"/>
      <c r="F26" s="41"/>
    </row>
    <row r="27" spans="1:6" x14ac:dyDescent="0.3">
      <c r="A27" s="22" t="s">
        <v>74</v>
      </c>
      <c r="B27" s="42"/>
      <c r="C27" s="42"/>
      <c r="D27" s="42"/>
      <c r="E27" s="42"/>
      <c r="F27" s="42"/>
    </row>
    <row r="28" spans="1:6" ht="15.75" customHeight="1" x14ac:dyDescent="0.3">
      <c r="A28" s="24" t="s">
        <v>106</v>
      </c>
      <c r="B28" s="38" t="s">
        <v>64</v>
      </c>
      <c r="C28" s="39" t="str">
        <f>IFERROR('Raw Data'!C26/'Raw Data'!B26-1,"n/a")</f>
        <v>n/a</v>
      </c>
      <c r="D28" s="39" t="str">
        <f>IFERROR('Raw Data'!D26/'Raw Data'!C26-1,"n/a")</f>
        <v>n/a</v>
      </c>
      <c r="E28" s="39" t="str">
        <f>IFERROR('Raw Data'!E26/'Raw Data'!D26-1,"n/a")</f>
        <v>n/a</v>
      </c>
      <c r="F28" s="39">
        <f>IFERROR('Raw Data'!F26/'Raw Data'!E26-1,"n/a")</f>
        <v>0.47692307692307701</v>
      </c>
    </row>
    <row r="29" spans="1:6" ht="15.75" customHeight="1" x14ac:dyDescent="0.3">
      <c r="A29" s="24" t="s">
        <v>107</v>
      </c>
      <c r="B29" s="38" t="s">
        <v>64</v>
      </c>
      <c r="C29" s="39" t="str">
        <f>IFERROR((('Raw Data'!C6+'Raw Data'!C26)/('Raw Data'!B6+'Raw Data'!B26))-1,"n/a")</f>
        <v>n/a</v>
      </c>
      <c r="D29" s="39" t="str">
        <f>IFERROR((('Raw Data'!D6+'Raw Data'!D26)/('Raw Data'!C6+'Raw Data'!C26))-1,"n/a")</f>
        <v>n/a</v>
      </c>
      <c r="E29" s="39" t="str">
        <f>IFERROR((('Raw Data'!E6+'Raw Data'!E26)/('Raw Data'!D6+'Raw Data'!D26))-1,"n/a")</f>
        <v>n/a</v>
      </c>
      <c r="F29" s="39">
        <f>IFERROR((('Raw Data'!F6+'Raw Data'!F26)/('Raw Data'!E6+'Raw Data'!E26))-1,"n/a")</f>
        <v>0.38823074175497085</v>
      </c>
    </row>
    <row r="30" spans="1:6" x14ac:dyDescent="0.3">
      <c r="B30" s="41"/>
      <c r="C30" s="41"/>
      <c r="D30" s="41"/>
      <c r="E30" s="41"/>
      <c r="F30" s="41"/>
    </row>
    <row r="31" spans="1:6" x14ac:dyDescent="0.3">
      <c r="A31" s="22" t="s">
        <v>108</v>
      </c>
      <c r="B31" s="42"/>
      <c r="C31" s="42"/>
      <c r="D31" s="42"/>
      <c r="E31" s="42"/>
      <c r="F31" s="42"/>
    </row>
    <row r="32" spans="1:6" ht="15.75" customHeight="1" x14ac:dyDescent="0.3">
      <c r="A32" s="24" t="s">
        <v>109</v>
      </c>
      <c r="B32" s="39">
        <f>IFERROR('Raw Data'!B29/'Raw Data'!B6,"n/a")</f>
        <v>0.52193784277879351</v>
      </c>
      <c r="C32" s="39">
        <f>IFERROR('Raw Data'!C29/'Raw Data'!C6,"n/a")</f>
        <v>0.52881460213289588</v>
      </c>
      <c r="D32" s="39">
        <f>IFERROR('Raw Data'!D29/'Raw Data'!D6,"n/a")</f>
        <v>0.52301997377959442</v>
      </c>
      <c r="E32" s="39">
        <f>IFERROR('Raw Data'!E29/'Raw Data'!E6,"n/a")</f>
        <v>0.50880450407283184</v>
      </c>
      <c r="F32" s="39">
        <f>IFERROR('Raw Data'!F29/'Raw Data'!F6,"n/a")</f>
        <v>0.49494902901425342</v>
      </c>
    </row>
    <row r="33" spans="1:6" ht="15.75" customHeight="1" x14ac:dyDescent="0.3">
      <c r="A33" s="24" t="s">
        <v>110</v>
      </c>
      <c r="B33" s="39">
        <f>IFERROR('Raw Data'!B30/'Raw Data'!B6,"n/a")</f>
        <v>0.26218769043266299</v>
      </c>
      <c r="C33" s="39">
        <f>IFERROR('Raw Data'!C30/'Raw Data'!C6,"n/a")</f>
        <v>0.26486874487284662</v>
      </c>
      <c r="D33" s="39">
        <f>IFERROR('Raw Data'!D30/'Raw Data'!D6,"n/a")</f>
        <v>0.27500578391300995</v>
      </c>
      <c r="E33" s="39">
        <f>IFERROR('Raw Data'!E30/'Raw Data'!E6,"n/a")</f>
        <v>0.27940824149496885</v>
      </c>
      <c r="F33" s="39">
        <f>IFERROR('Raw Data'!F30/'Raw Data'!F6,"n/a")</f>
        <v>0.27611974722081278</v>
      </c>
    </row>
    <row r="34" spans="1:6" ht="15.75" customHeight="1" x14ac:dyDescent="0.3">
      <c r="A34" s="24" t="s">
        <v>111</v>
      </c>
      <c r="B34" s="39">
        <f>IFERROR('Raw Data'!B31/'Raw Data'!B6,"n/a")</f>
        <v>0.14701401584399756</v>
      </c>
      <c r="C34" s="39">
        <f>IFERROR('Raw Data'!C31/'Raw Data'!C6,"n/a")</f>
        <v>0.13679245283018868</v>
      </c>
      <c r="D34" s="39">
        <f>IFERROR('Raw Data'!D31/'Raw Data'!D6,"n/a")</f>
        <v>0.13017660214390375</v>
      </c>
      <c r="E34" s="39">
        <f>IFERROR('Raw Data'!E31/'Raw Data'!E6,"n/a")</f>
        <v>0.13368471490177289</v>
      </c>
      <c r="F34" s="39">
        <f>IFERROR('Raw Data'!F31/'Raw Data'!F6,"n/a")</f>
        <v>0.1521287882282393</v>
      </c>
    </row>
    <row r="35" spans="1:6" ht="15.75" customHeight="1" x14ac:dyDescent="0.3">
      <c r="A35" s="24" t="s">
        <v>112</v>
      </c>
      <c r="B35" s="39">
        <f>IFERROR('Raw Data'!B32/'Raw Data'!B6,"n/a")</f>
        <v>6.8860450944546014E-2</v>
      </c>
      <c r="C35" s="39">
        <f>IFERROR('Raw Data'!C32/'Raw Data'!C6,"n/a")</f>
        <v>6.9626743232157506E-2</v>
      </c>
      <c r="D35" s="39">
        <f>IFERROR('Raw Data'!D32/'Raw Data'!D6,"n/a")</f>
        <v>7.1874759003624583E-2</v>
      </c>
      <c r="E35" s="39">
        <f>IFERROR('Raw Data'!E32/'Raw Data'!E6,"n/a")</f>
        <v>7.8102539530426451E-2</v>
      </c>
      <c r="F35" s="39">
        <f>IFERROR('Raw Data'!F32/'Raw Data'!F6,"n/a")</f>
        <v>7.6848563125605424E-2</v>
      </c>
    </row>
    <row r="36" spans="1:6" x14ac:dyDescent="0.3">
      <c r="B36" s="41"/>
      <c r="C36" s="41"/>
      <c r="D36" s="41"/>
      <c r="E36" s="41"/>
      <c r="F36" s="41"/>
    </row>
    <row r="37" spans="1:6" x14ac:dyDescent="0.3">
      <c r="B37" s="41"/>
      <c r="C37" s="41"/>
      <c r="D37" s="41"/>
      <c r="E37" s="41"/>
      <c r="F37" s="41"/>
    </row>
    <row r="38" spans="1:6" x14ac:dyDescent="0.3">
      <c r="A38" s="22" t="s">
        <v>113</v>
      </c>
      <c r="B38" s="42"/>
      <c r="C38" s="42"/>
      <c r="D38" s="42"/>
      <c r="E38" s="42"/>
      <c r="F38" s="42"/>
    </row>
    <row r="39" spans="1:6" x14ac:dyDescent="0.3">
      <c r="A39" s="24" t="s">
        <v>11</v>
      </c>
      <c r="B39" s="39">
        <f>IFERROR(('Raw Data'!F6/'Raw Data'!B6)^(1/4)-1,"n/a")</f>
        <v>0.34808621640820037</v>
      </c>
      <c r="C39" s="41"/>
      <c r="D39" s="41"/>
      <c r="E39" s="41"/>
      <c r="F39" s="41"/>
    </row>
    <row r="40" spans="1:6" x14ac:dyDescent="0.3">
      <c r="A40" s="24" t="s">
        <v>114</v>
      </c>
      <c r="B40" s="39">
        <f>IFERROR(('Raw Data'!F19/'Raw Data'!D19)^(1/2)-1,"n/a")</f>
        <v>0.32357245603124962</v>
      </c>
      <c r="C40" s="41"/>
      <c r="D40" s="41"/>
      <c r="E40" s="41"/>
      <c r="F40" s="41"/>
    </row>
    <row r="41" spans="1:6" x14ac:dyDescent="0.3">
      <c r="A41" s="24" t="s">
        <v>115</v>
      </c>
      <c r="B41" s="39">
        <f>IFERROR(('Raw Data'!F15/'Raw Data'!D15)^(1/2)-1,"n/a")</f>
        <v>0.44864800093737944</v>
      </c>
      <c r="C41" s="41"/>
      <c r="D41" s="41"/>
      <c r="E41" s="41"/>
      <c r="F41" s="41"/>
    </row>
    <row r="42" spans="1:6" x14ac:dyDescent="0.3">
      <c r="E42" s="41"/>
      <c r="F42" s="41"/>
    </row>
  </sheetData>
  <mergeCells count="2">
    <mergeCell ref="A1:F1"/>
    <mergeCell ref="A2:F2"/>
  </mergeCells>
  <conditionalFormatting sqref="B20:F41">
    <cfRule type="containsText" dxfId="0" priority="2" operator="containsText" text="n/a">
      <formula>NOT(ISERROR(SEARCH("n/a",B20)))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README</vt:lpstr>
      <vt:lpstr>Raw Data</vt:lpstr>
      <vt:lpstr>Calculated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Kumar</cp:lastModifiedBy>
  <cp:revision>1</cp:revision>
  <dcterms:created xsi:type="dcterms:W3CDTF">2026-08-23T23:17:21Z</dcterms:created>
  <dcterms:modified xsi:type="dcterms:W3CDTF">2026-08-27T22:54:29Z</dcterms:modified>
  <dc:language>en-US</dc:language>
</cp:coreProperties>
</file>